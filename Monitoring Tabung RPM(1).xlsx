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tptmn-my.sharepoint.com/personal/reslyana_wulandari_pertamina_com/Documents/"/>
    </mc:Choice>
  </mc:AlternateContent>
  <xr:revisionPtr revIDLastSave="700" documentId="13_ncr:1_{59E89C35-164A-48A5-A55B-960026D1DE1F}" xr6:coauthVersionLast="47" xr6:coauthVersionMax="47" xr10:uidLastSave="{02DF37BD-D5C2-4C8E-9134-7C3A7183BF42}"/>
  <bookViews>
    <workbookView xWindow="-110" yWindow="-110" windowWidth="19420" windowHeight="11500" activeTab="1" xr2:uid="{00000000-000D-0000-FFFF-FFFF00000000}"/>
  </bookViews>
  <sheets>
    <sheet name="Stok Tabung" sheetId="1" r:id="rId1"/>
    <sheet name="Agen 16.06.26" sheetId="2" r:id="rId2"/>
    <sheet name="Outlet 16.06.2026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2" l="1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5" i="2"/>
  <c r="U5" i="2" s="1"/>
  <c r="T4" i="2"/>
  <c r="U4" i="2" s="1"/>
  <c r="T3" i="2"/>
  <c r="U3" i="2" s="1"/>
  <c r="L14" i="2"/>
  <c r="L13" i="2"/>
  <c r="M13" i="2" s="1"/>
  <c r="L12" i="2"/>
  <c r="L6" i="3"/>
  <c r="L7" i="3"/>
  <c r="L8" i="3"/>
  <c r="L4" i="3"/>
  <c r="L5" i="3"/>
  <c r="L3" i="3"/>
  <c r="F50" i="3"/>
  <c r="F51" i="3"/>
  <c r="F48" i="3"/>
  <c r="F53" i="3"/>
  <c r="F54" i="3"/>
  <c r="F55" i="3"/>
  <c r="F56" i="3"/>
  <c r="F57" i="3"/>
  <c r="F58" i="3"/>
  <c r="F52" i="3"/>
  <c r="C24" i="3"/>
  <c r="G23" i="3"/>
  <c r="I23" i="3" s="1"/>
  <c r="N23" i="3" s="1"/>
  <c r="D23" i="3"/>
  <c r="G22" i="3"/>
  <c r="I22" i="3" s="1"/>
  <c r="N22" i="3" s="1"/>
  <c r="D22" i="3"/>
  <c r="G21" i="3"/>
  <c r="I21" i="3" s="1"/>
  <c r="N21" i="3" s="1"/>
  <c r="D21" i="3"/>
  <c r="G20" i="3"/>
  <c r="I20" i="3" s="1"/>
  <c r="N20" i="3" s="1"/>
  <c r="D20" i="3"/>
  <c r="G19" i="3"/>
  <c r="I19" i="3" s="1"/>
  <c r="N19" i="3" s="1"/>
  <c r="D19" i="3"/>
  <c r="G18" i="3"/>
  <c r="I18" i="3" s="1"/>
  <c r="N18" i="3" s="1"/>
  <c r="D18" i="3"/>
  <c r="G17" i="3"/>
  <c r="I17" i="3" s="1"/>
  <c r="N17" i="3" s="1"/>
  <c r="D17" i="3"/>
  <c r="G16" i="3"/>
  <c r="I16" i="3" s="1"/>
  <c r="N16" i="3" s="1"/>
  <c r="D16" i="3"/>
  <c r="G15" i="3"/>
  <c r="I15" i="3" s="1"/>
  <c r="N15" i="3" s="1"/>
  <c r="D15" i="3"/>
  <c r="G14" i="3"/>
  <c r="I14" i="3" s="1"/>
  <c r="N14" i="3" s="1"/>
  <c r="D14" i="3"/>
  <c r="G13" i="3"/>
  <c r="I13" i="3" s="1"/>
  <c r="N13" i="3" s="1"/>
  <c r="D13" i="3"/>
  <c r="G12" i="3"/>
  <c r="I12" i="3" s="1"/>
  <c r="N12" i="3" s="1"/>
  <c r="D12" i="3"/>
  <c r="G11" i="3"/>
  <c r="I11" i="3" s="1"/>
  <c r="N11" i="3" s="1"/>
  <c r="D11" i="3"/>
  <c r="G10" i="3"/>
  <c r="I10" i="3" s="1"/>
  <c r="N10" i="3" s="1"/>
  <c r="D10" i="3"/>
  <c r="G9" i="3"/>
  <c r="I9" i="3" s="1"/>
  <c r="N9" i="3" s="1"/>
  <c r="D9" i="3"/>
  <c r="G8" i="3"/>
  <c r="D8" i="3"/>
  <c r="G7" i="3"/>
  <c r="D7" i="3"/>
  <c r="G6" i="3"/>
  <c r="D6" i="3"/>
  <c r="G5" i="3"/>
  <c r="D5" i="3"/>
  <c r="G4" i="3"/>
  <c r="D4" i="3"/>
  <c r="D3" i="3"/>
  <c r="F24" i="2"/>
  <c r="C24" i="2"/>
  <c r="G23" i="2"/>
  <c r="D23" i="2"/>
  <c r="G22" i="2"/>
  <c r="D22" i="2"/>
  <c r="G21" i="2"/>
  <c r="D21" i="2"/>
  <c r="G20" i="2"/>
  <c r="X20" i="2" s="1"/>
  <c r="D20" i="2"/>
  <c r="G19" i="2"/>
  <c r="X19" i="2" s="1"/>
  <c r="D19" i="2"/>
  <c r="G18" i="2"/>
  <c r="X18" i="2" s="1"/>
  <c r="D18" i="2"/>
  <c r="G17" i="2"/>
  <c r="D17" i="2"/>
  <c r="G16" i="2"/>
  <c r="D16" i="2"/>
  <c r="G15" i="2"/>
  <c r="D15" i="2"/>
  <c r="G14" i="2"/>
  <c r="X14" i="2" s="1"/>
  <c r="D14" i="2"/>
  <c r="G13" i="2"/>
  <c r="X13" i="2" s="1"/>
  <c r="D13" i="2"/>
  <c r="G12" i="2"/>
  <c r="X12" i="2" s="1"/>
  <c r="D12" i="2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G4" i="2"/>
  <c r="D4" i="2"/>
  <c r="G3" i="2"/>
  <c r="D3" i="2"/>
  <c r="R19" i="1"/>
  <c r="T19" i="1" s="1"/>
  <c r="U19" i="1" s="1"/>
  <c r="N19" i="1"/>
  <c r="P19" i="1" s="1"/>
  <c r="Q19" i="1" s="1"/>
  <c r="J19" i="1"/>
  <c r="M15" i="1"/>
  <c r="Q15" i="1"/>
  <c r="U15" i="1"/>
  <c r="P16" i="1"/>
  <c r="Q16" i="1" s="1"/>
  <c r="T16" i="1"/>
  <c r="U16" i="1" s="1"/>
  <c r="M17" i="1"/>
  <c r="Q17" i="1"/>
  <c r="U17" i="1"/>
  <c r="M18" i="1"/>
  <c r="Q18" i="1"/>
  <c r="U18" i="1"/>
  <c r="M20" i="1"/>
  <c r="Q20" i="1"/>
  <c r="U20" i="1"/>
  <c r="J28" i="1"/>
  <c r="A3" i="1"/>
  <c r="Q26" i="1"/>
  <c r="Q24" i="1"/>
  <c r="M29" i="1"/>
  <c r="M27" i="1"/>
  <c r="F31" i="1"/>
  <c r="G29" i="1"/>
  <c r="G28" i="1"/>
  <c r="G27" i="1"/>
  <c r="V27" i="1" s="1"/>
  <c r="N22" i="1"/>
  <c r="P22" i="1" s="1"/>
  <c r="J22" i="1"/>
  <c r="L22" i="1" s="1"/>
  <c r="Q23" i="1"/>
  <c r="M23" i="1"/>
  <c r="Q21" i="1"/>
  <c r="M21" i="1"/>
  <c r="G21" i="1"/>
  <c r="V21" i="1" s="1"/>
  <c r="G22" i="1"/>
  <c r="G23" i="1"/>
  <c r="D29" i="1"/>
  <c r="D28" i="1"/>
  <c r="D27" i="1"/>
  <c r="D23" i="1"/>
  <c r="D22" i="1"/>
  <c r="D21" i="1"/>
  <c r="M26" i="1"/>
  <c r="M24" i="1"/>
  <c r="G26" i="1"/>
  <c r="D26" i="1"/>
  <c r="C25" i="1"/>
  <c r="C24" i="1"/>
  <c r="Q11" i="1"/>
  <c r="M11" i="1"/>
  <c r="Q9" i="1"/>
  <c r="M9" i="1"/>
  <c r="G14" i="1"/>
  <c r="D14" i="1"/>
  <c r="G13" i="1"/>
  <c r="V13" i="1" s="1"/>
  <c r="D13" i="1"/>
  <c r="G12" i="1"/>
  <c r="D12" i="1"/>
  <c r="G11" i="1"/>
  <c r="D11" i="1"/>
  <c r="G10" i="1"/>
  <c r="D10" i="1"/>
  <c r="G9" i="1"/>
  <c r="V9" i="1" s="1"/>
  <c r="D9" i="1"/>
  <c r="U14" i="1"/>
  <c r="Q14" i="1"/>
  <c r="U12" i="1"/>
  <c r="Q12" i="1"/>
  <c r="M12" i="1"/>
  <c r="M14" i="1"/>
  <c r="G18" i="1"/>
  <c r="G19" i="1"/>
  <c r="G20" i="1"/>
  <c r="D20" i="1"/>
  <c r="D19" i="1"/>
  <c r="D18" i="1"/>
  <c r="G16" i="1"/>
  <c r="G17" i="1"/>
  <c r="G15" i="1"/>
  <c r="D17" i="1"/>
  <c r="D16" i="1"/>
  <c r="D15" i="1"/>
  <c r="V11" i="2" l="1"/>
  <c r="V9" i="2"/>
  <c r="M14" i="2"/>
  <c r="W14" i="2" s="1"/>
  <c r="V14" i="2"/>
  <c r="W13" i="2"/>
  <c r="V13" i="2"/>
  <c r="M12" i="2"/>
  <c r="W12" i="2" s="1"/>
  <c r="V12" i="2"/>
  <c r="V10" i="2"/>
  <c r="V20" i="2"/>
  <c r="V19" i="2"/>
  <c r="X23" i="2"/>
  <c r="V23" i="2"/>
  <c r="X22" i="2"/>
  <c r="V22" i="2"/>
  <c r="X21" i="2"/>
  <c r="V21" i="2"/>
  <c r="X17" i="2"/>
  <c r="X16" i="2"/>
  <c r="X15" i="2"/>
  <c r="X8" i="2"/>
  <c r="V8" i="2"/>
  <c r="X7" i="2"/>
  <c r="V7" i="2"/>
  <c r="X6" i="2"/>
  <c r="V6" i="2"/>
  <c r="X5" i="2"/>
  <c r="V5" i="2"/>
  <c r="X4" i="2"/>
  <c r="V4" i="2"/>
  <c r="X3" i="2"/>
  <c r="V3" i="2"/>
  <c r="E12" i="3"/>
  <c r="X11" i="2"/>
  <c r="X10" i="2"/>
  <c r="X9" i="2"/>
  <c r="E18" i="3"/>
  <c r="I5" i="3"/>
  <c r="N5" i="3" s="1"/>
  <c r="M5" i="3"/>
  <c r="I4" i="3"/>
  <c r="N4" i="3" s="1"/>
  <c r="M4" i="3"/>
  <c r="E15" i="2"/>
  <c r="M7" i="3"/>
  <c r="I8" i="3"/>
  <c r="N8" i="3" s="1"/>
  <c r="M8" i="3"/>
  <c r="I7" i="3"/>
  <c r="N7" i="3" s="1"/>
  <c r="I6" i="3"/>
  <c r="N6" i="3" s="1"/>
  <c r="E21" i="3"/>
  <c r="E12" i="2"/>
  <c r="E6" i="3"/>
  <c r="E9" i="3"/>
  <c r="E15" i="3"/>
  <c r="E21" i="2"/>
  <c r="E18" i="2"/>
  <c r="D24" i="3"/>
  <c r="E3" i="3"/>
  <c r="E9" i="2"/>
  <c r="E6" i="2"/>
  <c r="I23" i="2"/>
  <c r="W23" i="2" s="1"/>
  <c r="I22" i="2"/>
  <c r="W22" i="2" s="1"/>
  <c r="I21" i="2"/>
  <c r="W21" i="2" s="1"/>
  <c r="I20" i="2"/>
  <c r="W20" i="2" s="1"/>
  <c r="I19" i="2"/>
  <c r="W19" i="2" s="1"/>
  <c r="I18" i="2"/>
  <c r="I17" i="2"/>
  <c r="I16" i="2"/>
  <c r="I15" i="2"/>
  <c r="I14" i="2"/>
  <c r="I13" i="2"/>
  <c r="I12" i="2"/>
  <c r="I11" i="2"/>
  <c r="W11" i="2" s="1"/>
  <c r="I10" i="2"/>
  <c r="W10" i="2" s="1"/>
  <c r="I9" i="2"/>
  <c r="W9" i="2" s="1"/>
  <c r="I8" i="2"/>
  <c r="W8" i="2" s="1"/>
  <c r="I7" i="2"/>
  <c r="W7" i="2" s="1"/>
  <c r="I6" i="2"/>
  <c r="W6" i="2" s="1"/>
  <c r="I5" i="2"/>
  <c r="W5" i="2" s="1"/>
  <c r="I4" i="2"/>
  <c r="W4" i="2" s="1"/>
  <c r="G24" i="2"/>
  <c r="I3" i="2"/>
  <c r="W3" i="2" s="1"/>
  <c r="D24" i="2"/>
  <c r="E3" i="2"/>
  <c r="L16" i="1"/>
  <c r="M16" i="1" s="1"/>
  <c r="L19" i="1"/>
  <c r="M19" i="1" s="1"/>
  <c r="I22" i="1"/>
  <c r="V22" i="1"/>
  <c r="I23" i="1"/>
  <c r="V23" i="1"/>
  <c r="I19" i="1"/>
  <c r="V19" i="1"/>
  <c r="I20" i="1"/>
  <c r="V20" i="1"/>
  <c r="I16" i="1"/>
  <c r="V16" i="1"/>
  <c r="I17" i="1"/>
  <c r="V17" i="1"/>
  <c r="I15" i="1"/>
  <c r="V15" i="1"/>
  <c r="I29" i="1"/>
  <c r="V29" i="1"/>
  <c r="I28" i="1"/>
  <c r="V28" i="1"/>
  <c r="I26" i="1"/>
  <c r="V26" i="1"/>
  <c r="I14" i="1"/>
  <c r="V14" i="1"/>
  <c r="I12" i="1"/>
  <c r="V12" i="1"/>
  <c r="I11" i="1"/>
  <c r="V11" i="1"/>
  <c r="I10" i="1"/>
  <c r="V10" i="1"/>
  <c r="I18" i="1"/>
  <c r="V18" i="1"/>
  <c r="E3" i="1"/>
  <c r="C31" i="1"/>
  <c r="I27" i="1"/>
  <c r="L28" i="1"/>
  <c r="M28" i="1" s="1"/>
  <c r="E27" i="1"/>
  <c r="I21" i="1"/>
  <c r="Q22" i="1"/>
  <c r="M22" i="1"/>
  <c r="E21" i="1"/>
  <c r="D25" i="1"/>
  <c r="G25" i="1"/>
  <c r="V25" i="1" s="1"/>
  <c r="D24" i="1"/>
  <c r="G24" i="1"/>
  <c r="V24" i="1" s="1"/>
  <c r="P10" i="1"/>
  <c r="Q10" i="1" s="1"/>
  <c r="E12" i="1"/>
  <c r="I13" i="1"/>
  <c r="I9" i="1"/>
  <c r="L10" i="1"/>
  <c r="E9" i="1"/>
  <c r="T13" i="1"/>
  <c r="U13" i="1" s="1"/>
  <c r="P13" i="1"/>
  <c r="L13" i="1"/>
  <c r="M13" i="1" s="1"/>
  <c r="E18" i="1"/>
  <c r="E15" i="1"/>
  <c r="W17" i="2" l="1"/>
  <c r="V17" i="2"/>
  <c r="W16" i="2"/>
  <c r="V16" i="2"/>
  <c r="W15" i="2"/>
  <c r="V15" i="2"/>
  <c r="W18" i="2"/>
  <c r="V18" i="2"/>
  <c r="M6" i="3"/>
  <c r="E24" i="2"/>
  <c r="E24" i="3"/>
  <c r="I25" i="1"/>
  <c r="L3" i="1"/>
  <c r="M10" i="1"/>
  <c r="G31" i="1"/>
  <c r="E24" i="1"/>
  <c r="E31" i="1" s="1"/>
  <c r="D31" i="1"/>
  <c r="I24" i="1"/>
  <c r="L25" i="1"/>
  <c r="M25" i="1" s="1"/>
  <c r="Q13" i="1"/>
  <c r="Q3" i="1" l="1"/>
  <c r="F24" i="3"/>
  <c r="F49" i="3" s="1"/>
  <c r="G3" i="3"/>
  <c r="M3" i="3" s="1"/>
  <c r="G24" i="3" l="1"/>
  <c r="I3" i="3"/>
  <c r="N3" i="3" s="1"/>
</calcChain>
</file>

<file path=xl/sharedStrings.xml><?xml version="1.0" encoding="utf-8"?>
<sst xmlns="http://schemas.openxmlformats.org/spreadsheetml/2006/main" count="162" uniqueCount="43">
  <si>
    <t>Produk</t>
  </si>
  <si>
    <t>5.5 kg</t>
  </si>
  <si>
    <t>Exhaust Terdekat</t>
  </si>
  <si>
    <t>12 kg</t>
  </si>
  <si>
    <t>50 kg</t>
  </si>
  <si>
    <t>Agen</t>
  </si>
  <si>
    <t>MT</t>
  </si>
  <si>
    <t>Total (MT)</t>
  </si>
  <si>
    <t>DOT</t>
  </si>
  <si>
    <t>CD (hari)</t>
  </si>
  <si>
    <t>Tanggal Stok Awal</t>
  </si>
  <si>
    <t>Exhaust Date</t>
  </si>
  <si>
    <t>Status</t>
  </si>
  <si>
    <t>ETA 1</t>
  </si>
  <si>
    <t>CD 1</t>
  </si>
  <si>
    <t>ETA 2</t>
  </si>
  <si>
    <t>CD 2</t>
  </si>
  <si>
    <t>TOTAL</t>
  </si>
  <si>
    <t>Rencana Kedatangan 1</t>
  </si>
  <si>
    <t>MALUKU</t>
  </si>
  <si>
    <t>PAPUA BARAT</t>
  </si>
  <si>
    <t>PAPUA BARAT DAYA</t>
  </si>
  <si>
    <t>MALUKU UTARA</t>
  </si>
  <si>
    <t>PAPUA TENGAH</t>
  </si>
  <si>
    <t>PAPUA SELATAN-PEGUNUNGAN</t>
  </si>
  <si>
    <t>PAPUA</t>
  </si>
  <si>
    <t>WILAYAH</t>
  </si>
  <si>
    <t>Total Stok Agen di Wilayah Regional Papua Maluku</t>
  </si>
  <si>
    <t>Produk Kritis (CD &lt; 3)</t>
  </si>
  <si>
    <t>Rencana Kedatangan 2</t>
  </si>
  <si>
    <t>Rencana Kedatangan 3</t>
  </si>
  <si>
    <t>Exhaust Date 1</t>
  </si>
  <si>
    <t>Next Supply (Pcs)</t>
  </si>
  <si>
    <t>Exhaust Date 2</t>
  </si>
  <si>
    <t>ETA 3</t>
  </si>
  <si>
    <t>CD 3</t>
  </si>
  <si>
    <t>Exhaust Date 3</t>
  </si>
  <si>
    <t>Stok Agen Isi Pcs (EXISTING)</t>
  </si>
  <si>
    <t>Stok Outlet (Existing)</t>
  </si>
  <si>
    <t>`</t>
  </si>
  <si>
    <t>CD TERUPDATE</t>
  </si>
  <si>
    <t>EXHAUST DATE TERUPDATE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</si>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</sst>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 mmm\ yyyy"/>
    <numFmt numFmtId="166" formatCode="[$-F800]dddd\,\ mmmm\ dd\,\ yyyy"/>
  </numFmts>
  <fonts count="3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F4C5C"/>
      <name val="Calibri"/>
      <family val="2"/>
    </font>
    <font>
      <b/>
      <sz val="16"/>
      <color rgb="FFF28C28"/>
      <name val="Calibri"/>
      <family val="2"/>
    </font>
    <font>
      <b/>
      <sz val="16"/>
      <color rgb="FFC86DD7"/>
      <name val="Calibri"/>
      <family val="2"/>
    </font>
    <font>
      <b/>
      <sz val="16"/>
      <color rgb="FF2E7D32"/>
      <name val="Calibri"/>
      <family val="2"/>
    </font>
    <font>
      <b/>
      <sz val="18"/>
      <color rgb="FF0F4C5C"/>
      <name val="Calibri"/>
      <family val="2"/>
    </font>
    <font>
      <sz val="18"/>
      <color theme="1"/>
      <name val="Calibri"/>
      <family val="2"/>
      <scheme val="minor"/>
    </font>
    <font>
      <b/>
      <sz val="18"/>
      <color rgb="FFF28C28"/>
      <name val="Calibri"/>
      <family val="2"/>
    </font>
    <font>
      <b/>
      <sz val="18"/>
      <color rgb="FFC86DD7"/>
      <name val="Calibri"/>
      <family val="2"/>
    </font>
    <font>
      <b/>
      <sz val="18"/>
      <color rgb="FF2E7D32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Bold"/>
    </font>
    <font>
      <b/>
      <sz val="12"/>
      <color theme="0"/>
      <name val="Bold"/>
    </font>
    <font>
      <b/>
      <sz val="11"/>
      <color theme="1"/>
      <name val="Bold"/>
    </font>
    <font>
      <b/>
      <sz val="14"/>
      <color rgb="FFFFFFFF"/>
      <name val="Bold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Bold"/>
    </font>
    <font>
      <sz val="11"/>
      <color theme="1"/>
      <name val="Calibri"/>
      <family val="2"/>
      <scheme val="maj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EAF4FB"/>
      </patternFill>
    </fill>
    <fill>
      <patternFill patternType="solid">
        <fgColor rgb="FFFFF1E6"/>
      </patternFill>
    </fill>
    <fill>
      <patternFill patternType="solid">
        <fgColor rgb="FFF6ECFB"/>
      </patternFill>
    </fill>
    <fill>
      <patternFill patternType="solid">
        <fgColor rgb="FFE5F3E4"/>
      </patternFill>
    </fill>
    <fill>
      <patternFill patternType="solid">
        <fgColor rgb="FF1F6F8B"/>
      </patternFill>
    </fill>
    <fill>
      <patternFill patternType="solid">
        <fgColor rgb="FFFFF7DA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D479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7F5E7"/>
      </patternFill>
    </fill>
    <fill>
      <patternFill patternType="solid">
        <fgColor theme="7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/>
    <xf numFmtId="0" fontId="8" fillId="0" borderId="0" xfId="0" applyFont="1"/>
    <xf numFmtId="0" fontId="1" fillId="0" borderId="0" xfId="0" applyFont="1"/>
    <xf numFmtId="0" fontId="1" fillId="0" borderId="2" xfId="0" applyFont="1" applyBorder="1"/>
    <xf numFmtId="164" fontId="12" fillId="10" borderId="3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/>
    <xf numFmtId="164" fontId="1" fillId="0" borderId="11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center" vertical="center" wrapText="1"/>
    </xf>
    <xf numFmtId="165" fontId="15" fillId="11" borderId="11" xfId="0" applyNumberFormat="1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 wrapText="1"/>
    </xf>
    <xf numFmtId="165" fontId="12" fillId="0" borderId="11" xfId="0" applyNumberFormat="1" applyFont="1" applyBorder="1" applyAlignment="1">
      <alignment horizontal="center" vertical="center" wrapText="1"/>
    </xf>
    <xf numFmtId="165" fontId="13" fillId="2" borderId="3" xfId="0" applyNumberFormat="1" applyFont="1" applyFill="1" applyBorder="1"/>
    <xf numFmtId="0" fontId="16" fillId="13" borderId="3" xfId="0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0" fontId="19" fillId="15" borderId="3" xfId="0" applyFont="1" applyFill="1" applyBorder="1" applyAlignment="1">
      <alignment horizontal="center" vertical="center" wrapText="1"/>
    </xf>
    <xf numFmtId="0" fontId="13" fillId="2" borderId="0" xfId="0" applyFont="1" applyFill="1"/>
    <xf numFmtId="165" fontId="20" fillId="0" borderId="11" xfId="0" applyNumberFormat="1" applyFont="1" applyBorder="1" applyAlignment="1">
      <alignment horizontal="center" vertical="center" wrapText="1"/>
    </xf>
    <xf numFmtId="165" fontId="1" fillId="11" borderId="11" xfId="0" applyNumberFormat="1" applyFont="1" applyFill="1" applyBorder="1" applyAlignment="1">
      <alignment horizontal="center" vertical="center" wrapText="1"/>
    </xf>
    <xf numFmtId="165" fontId="20" fillId="11" borderId="11" xfId="0" applyNumberFormat="1" applyFont="1" applyFill="1" applyBorder="1" applyAlignment="1">
      <alignment horizontal="center" vertical="center" wrapText="1"/>
    </xf>
    <xf numFmtId="166" fontId="1" fillId="0" borderId="14" xfId="0" applyNumberFormat="1" applyFont="1" applyBorder="1" applyAlignment="1">
      <alignment horizontal="center" vertical="center" wrapText="1"/>
    </xf>
    <xf numFmtId="166" fontId="1" fillId="0" borderId="16" xfId="0" applyNumberFormat="1" applyFont="1" applyBorder="1" applyAlignment="1">
      <alignment horizontal="center" vertical="center" wrapText="1"/>
    </xf>
    <xf numFmtId="166" fontId="1" fillId="0" borderId="17" xfId="0" applyNumberFormat="1" applyFont="1" applyBorder="1" applyAlignment="1">
      <alignment horizontal="center" vertical="center" wrapText="1"/>
    </xf>
    <xf numFmtId="165" fontId="20" fillId="0" borderId="19" xfId="0" applyNumberFormat="1" applyFont="1" applyBorder="1" applyAlignment="1">
      <alignment horizontal="center" vertical="center" wrapText="1"/>
    </xf>
    <xf numFmtId="166" fontId="1" fillId="0" borderId="20" xfId="0" applyNumberFormat="1" applyFont="1" applyBorder="1" applyAlignment="1">
      <alignment horizontal="center" vertical="center" wrapText="1"/>
    </xf>
    <xf numFmtId="3" fontId="1" fillId="0" borderId="19" xfId="0" applyNumberFormat="1" applyFont="1" applyBorder="1" applyAlignment="1">
      <alignment vertical="center" wrapText="1"/>
    </xf>
    <xf numFmtId="165" fontId="12" fillId="0" borderId="19" xfId="0" applyNumberFormat="1" applyFont="1" applyBorder="1" applyAlignment="1">
      <alignment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5" fontId="14" fillId="0" borderId="19" xfId="0" applyNumberFormat="1" applyFon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165" fontId="20" fillId="0" borderId="24" xfId="0" applyNumberFormat="1" applyFont="1" applyBorder="1" applyAlignment="1">
      <alignment horizontal="center" vertical="center" wrapText="1"/>
    </xf>
    <xf numFmtId="166" fontId="1" fillId="0" borderId="25" xfId="0" applyNumberFormat="1" applyFont="1" applyBorder="1" applyAlignment="1">
      <alignment horizontal="center" vertical="center" wrapText="1"/>
    </xf>
    <xf numFmtId="3" fontId="1" fillId="0" borderId="24" xfId="0" applyNumberFormat="1" applyFont="1" applyBorder="1" applyAlignment="1">
      <alignment vertical="center" wrapText="1"/>
    </xf>
    <xf numFmtId="165" fontId="12" fillId="0" borderId="24" xfId="0" applyNumberFormat="1" applyFont="1" applyBorder="1" applyAlignment="1">
      <alignment vertical="center" wrapText="1"/>
    </xf>
    <xf numFmtId="164" fontId="1" fillId="0" borderId="24" xfId="0" applyNumberFormat="1" applyFont="1" applyBorder="1" applyAlignment="1">
      <alignment horizontal="center" vertical="center" wrapText="1"/>
    </xf>
    <xf numFmtId="165" fontId="15" fillId="0" borderId="24" xfId="0" applyNumberFormat="1" applyFont="1" applyBorder="1" applyAlignment="1">
      <alignment horizontal="center" vertical="center" wrapText="1"/>
    </xf>
    <xf numFmtId="165" fontId="1" fillId="0" borderId="24" xfId="0" applyNumberFormat="1" applyFont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/>
    </xf>
    <xf numFmtId="166" fontId="1" fillId="11" borderId="20" xfId="0" applyNumberFormat="1" applyFont="1" applyFill="1" applyBorder="1" applyAlignment="1">
      <alignment horizontal="center" vertical="center" wrapText="1"/>
    </xf>
    <xf numFmtId="165" fontId="15" fillId="0" borderId="19" xfId="0" applyNumberFormat="1" applyFont="1" applyBorder="1" applyAlignment="1">
      <alignment horizontal="center" vertical="center" wrapText="1"/>
    </xf>
    <xf numFmtId="165" fontId="15" fillId="11" borderId="19" xfId="0" applyNumberFormat="1" applyFont="1" applyFill="1" applyBorder="1" applyAlignment="1">
      <alignment horizontal="center" vertical="center" wrapText="1"/>
    </xf>
    <xf numFmtId="165" fontId="15" fillId="11" borderId="24" xfId="0" applyNumberFormat="1" applyFont="1" applyFill="1" applyBorder="1" applyAlignment="1">
      <alignment horizontal="center" vertical="center" wrapText="1"/>
    </xf>
    <xf numFmtId="165" fontId="20" fillId="11" borderId="19" xfId="0" applyNumberFormat="1" applyFont="1" applyFill="1" applyBorder="1" applyAlignment="1">
      <alignment horizontal="center" vertical="center" wrapText="1"/>
    </xf>
    <xf numFmtId="165" fontId="1" fillId="0" borderId="19" xfId="0" applyNumberFormat="1" applyFont="1" applyBorder="1" applyAlignment="1">
      <alignment vertical="center" wrapText="1"/>
    </xf>
    <xf numFmtId="165" fontId="1" fillId="0" borderId="24" xfId="0" applyNumberFormat="1" applyFont="1" applyBorder="1" applyAlignment="1">
      <alignment vertical="center" wrapText="1"/>
    </xf>
    <xf numFmtId="3" fontId="1" fillId="0" borderId="27" xfId="0" applyNumberFormat="1" applyFont="1" applyBorder="1" applyAlignment="1">
      <alignment horizontal="center" vertical="center" wrapText="1"/>
    </xf>
    <xf numFmtId="164" fontId="1" fillId="0" borderId="27" xfId="0" applyNumberFormat="1" applyFont="1" applyBorder="1" applyAlignment="1">
      <alignment horizontal="center" vertical="center" wrapText="1"/>
    </xf>
    <xf numFmtId="3" fontId="1" fillId="0" borderId="28" xfId="0" applyNumberFormat="1" applyFont="1" applyBorder="1" applyAlignment="1">
      <alignment horizontal="center" vertical="center" wrapText="1"/>
    </xf>
    <xf numFmtId="164" fontId="1" fillId="0" borderId="28" xfId="0" applyNumberFormat="1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 wrapText="1"/>
    </xf>
    <xf numFmtId="164" fontId="1" fillId="0" borderId="29" xfId="0" applyNumberFormat="1" applyFont="1" applyBorder="1" applyAlignment="1">
      <alignment horizontal="center" vertical="center" wrapText="1"/>
    </xf>
    <xf numFmtId="164" fontId="12" fillId="10" borderId="18" xfId="0" applyNumberFormat="1" applyFont="1" applyFill="1" applyBorder="1" applyAlignment="1">
      <alignment horizontal="center" vertical="center" wrapText="1"/>
    </xf>
    <xf numFmtId="164" fontId="12" fillId="10" borderId="23" xfId="0" applyNumberFormat="1" applyFont="1" applyFill="1" applyBorder="1" applyAlignment="1">
      <alignment horizontal="center" vertical="center" wrapText="1"/>
    </xf>
    <xf numFmtId="166" fontId="1" fillId="0" borderId="30" xfId="0" applyNumberFormat="1" applyFont="1" applyBorder="1" applyAlignment="1">
      <alignment horizontal="center" vertical="center" wrapText="1"/>
    </xf>
    <xf numFmtId="166" fontId="1" fillId="0" borderId="31" xfId="0" applyNumberFormat="1" applyFont="1" applyBorder="1" applyAlignment="1">
      <alignment horizontal="center" vertical="center" wrapText="1"/>
    </xf>
    <xf numFmtId="166" fontId="1" fillId="0" borderId="32" xfId="0" applyNumberFormat="1" applyFont="1" applyBorder="1" applyAlignment="1">
      <alignment horizontal="center" vertical="center" wrapText="1"/>
    </xf>
    <xf numFmtId="3" fontId="1" fillId="0" borderId="30" xfId="0" applyNumberFormat="1" applyFont="1" applyBorder="1" applyAlignment="1">
      <alignment horizontal="center" vertical="center" wrapText="1"/>
    </xf>
    <xf numFmtId="3" fontId="1" fillId="0" borderId="31" xfId="0" applyNumberFormat="1" applyFont="1" applyBorder="1" applyAlignment="1">
      <alignment horizontal="center" vertical="center" wrapText="1"/>
    </xf>
    <xf numFmtId="3" fontId="1" fillId="0" borderId="32" xfId="0" applyNumberFormat="1" applyFont="1" applyBorder="1" applyAlignment="1">
      <alignment horizontal="center" vertical="center" wrapText="1"/>
    </xf>
    <xf numFmtId="165" fontId="20" fillId="0" borderId="33" xfId="0" applyNumberFormat="1" applyFont="1" applyBorder="1" applyAlignment="1">
      <alignment horizontal="center" vertical="center" wrapText="1"/>
    </xf>
    <xf numFmtId="165" fontId="1" fillId="0" borderId="34" xfId="0" applyNumberFormat="1" applyFont="1" applyBorder="1" applyAlignment="1">
      <alignment horizontal="center" vertical="center" wrapText="1"/>
    </xf>
    <xf numFmtId="165" fontId="20" fillId="0" borderId="35" xfId="0" applyNumberFormat="1" applyFont="1" applyBorder="1" applyAlignment="1">
      <alignment horizontal="center" vertical="center" wrapText="1"/>
    </xf>
    <xf numFmtId="0" fontId="12" fillId="16" borderId="27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12" fillId="17" borderId="29" xfId="0" applyFont="1" applyFill="1" applyBorder="1" applyAlignment="1">
      <alignment horizontal="center" vertical="center" wrapText="1"/>
    </xf>
    <xf numFmtId="0" fontId="23" fillId="2" borderId="3" xfId="0" applyFont="1" applyFill="1" applyBorder="1"/>
    <xf numFmtId="3" fontId="23" fillId="2" borderId="3" xfId="0" applyNumberFormat="1" applyFont="1" applyFill="1" applyBorder="1" applyAlignment="1">
      <alignment horizontal="center"/>
    </xf>
    <xf numFmtId="165" fontId="22" fillId="0" borderId="3" xfId="0" applyNumberFormat="1" applyFont="1" applyBorder="1" applyAlignment="1">
      <alignment horizontal="center" vertical="center" wrapText="1"/>
    </xf>
    <xf numFmtId="165" fontId="23" fillId="2" borderId="3" xfId="0" applyNumberFormat="1" applyFont="1" applyFill="1" applyBorder="1"/>
    <xf numFmtId="164" fontId="1" fillId="0" borderId="15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3" fontId="1" fillId="0" borderId="36" xfId="0" applyNumberFormat="1" applyFont="1" applyBorder="1" applyAlignment="1">
      <alignment horizontal="center" vertical="center" wrapText="1"/>
    </xf>
    <xf numFmtId="164" fontId="1" fillId="0" borderId="38" xfId="0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" fontId="12" fillId="10" borderId="30" xfId="0" applyNumberFormat="1" applyFont="1" applyFill="1" applyBorder="1" applyAlignment="1">
      <alignment horizontal="center" vertical="center" wrapText="1"/>
    </xf>
    <xf numFmtId="1" fontId="12" fillId="10" borderId="31" xfId="0" applyNumberFormat="1" applyFont="1" applyFill="1" applyBorder="1" applyAlignment="1">
      <alignment horizontal="center" vertical="center" wrapText="1"/>
    </xf>
    <xf numFmtId="1" fontId="12" fillId="10" borderId="32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1" fontId="12" fillId="10" borderId="18" xfId="0" applyNumberFormat="1" applyFont="1" applyFill="1" applyBorder="1" applyAlignment="1">
      <alignment horizontal="center" vertical="center" wrapText="1"/>
    </xf>
    <xf numFmtId="1" fontId="12" fillId="10" borderId="3" xfId="0" applyNumberFormat="1" applyFont="1" applyFill="1" applyBorder="1" applyAlignment="1">
      <alignment horizontal="center" vertical="center" wrapText="1"/>
    </xf>
    <xf numFmtId="1" fontId="12" fillId="10" borderId="23" xfId="0" applyNumberFormat="1" applyFont="1" applyFill="1" applyBorder="1" applyAlignment="1">
      <alignment horizontal="center" vertical="center" wrapText="1"/>
    </xf>
    <xf numFmtId="165" fontId="14" fillId="0" borderId="3" xfId="0" applyNumberFormat="1" applyFont="1" applyBorder="1" applyAlignment="1">
      <alignment horizontal="center" vertical="center" wrapText="1"/>
    </xf>
    <xf numFmtId="165" fontId="20" fillId="0" borderId="41" xfId="0" applyNumberFormat="1" applyFont="1" applyBorder="1" applyAlignment="1">
      <alignment horizontal="center" vertical="center" wrapText="1"/>
    </xf>
    <xf numFmtId="165" fontId="20" fillId="0" borderId="23" xfId="0" applyNumberFormat="1" applyFont="1" applyBorder="1" applyAlignment="1">
      <alignment horizontal="center" vertical="center" wrapText="1"/>
    </xf>
    <xf numFmtId="3" fontId="1" fillId="0" borderId="23" xfId="0" applyNumberFormat="1" applyFont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165" fontId="14" fillId="0" borderId="23" xfId="0" applyNumberFormat="1" applyFont="1" applyBorder="1" applyAlignment="1">
      <alignment horizontal="center" vertical="center" wrapText="1"/>
    </xf>
    <xf numFmtId="3" fontId="1" fillId="0" borderId="41" xfId="0" applyNumberFormat="1" applyFont="1" applyBorder="1" applyAlignment="1">
      <alignment horizontal="center" vertical="center" wrapText="1"/>
    </xf>
    <xf numFmtId="164" fontId="1" fillId="0" borderId="41" xfId="0" applyNumberFormat="1" applyFont="1" applyBorder="1" applyAlignment="1">
      <alignment horizontal="center" vertical="center" wrapText="1"/>
    </xf>
    <xf numFmtId="165" fontId="14" fillId="0" borderId="41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horizontal="center" vertical="center" wrapText="1"/>
    </xf>
    <xf numFmtId="0" fontId="16" fillId="13" borderId="23" xfId="0" applyFont="1" applyFill="1" applyBorder="1" applyAlignment="1">
      <alignment horizontal="center" vertical="center" wrapText="1"/>
    </xf>
    <xf numFmtId="0" fontId="24" fillId="18" borderId="15" xfId="0" applyFont="1" applyFill="1" applyBorder="1" applyAlignment="1">
      <alignment horizontal="center"/>
    </xf>
    <xf numFmtId="0" fontId="24" fillId="18" borderId="15" xfId="0" applyFont="1" applyFill="1" applyBorder="1"/>
    <xf numFmtId="3" fontId="24" fillId="18" borderId="15" xfId="0" applyNumberFormat="1" applyFont="1" applyFill="1" applyBorder="1" applyAlignment="1">
      <alignment horizontal="center"/>
    </xf>
    <xf numFmtId="3" fontId="24" fillId="12" borderId="15" xfId="0" applyNumberFormat="1" applyFont="1" applyFill="1" applyBorder="1" applyAlignment="1">
      <alignment horizontal="center"/>
    </xf>
    <xf numFmtId="165" fontId="24" fillId="12" borderId="15" xfId="0" applyNumberFormat="1" applyFont="1" applyFill="1" applyBorder="1"/>
    <xf numFmtId="0" fontId="13" fillId="9" borderId="15" xfId="0" applyFont="1" applyFill="1" applyBorder="1"/>
    <xf numFmtId="165" fontId="13" fillId="9" borderId="15" xfId="0" applyNumberFormat="1" applyFont="1" applyFill="1" applyBorder="1"/>
    <xf numFmtId="0" fontId="13" fillId="9" borderId="15" xfId="0" applyFont="1" applyFill="1" applyBorder="1" applyAlignment="1">
      <alignment horizontal="center" vertical="center"/>
    </xf>
    <xf numFmtId="165" fontId="25" fillId="12" borderId="15" xfId="0" applyNumberFormat="1" applyFont="1" applyFill="1" applyBorder="1" applyAlignment="1">
      <alignment horizontal="center" vertical="center" wrapText="1"/>
    </xf>
    <xf numFmtId="3" fontId="1" fillId="11" borderId="11" xfId="0" applyNumberFormat="1" applyFont="1" applyFill="1" applyBorder="1" applyAlignment="1">
      <alignment vertical="center" wrapText="1"/>
    </xf>
    <xf numFmtId="3" fontId="1" fillId="11" borderId="11" xfId="0" applyNumberFormat="1" applyFont="1" applyFill="1" applyBorder="1" applyAlignment="1">
      <alignment horizontal="center" vertical="center" wrapText="1"/>
    </xf>
    <xf numFmtId="3" fontId="1" fillId="11" borderId="24" xfId="0" applyNumberFormat="1" applyFont="1" applyFill="1" applyBorder="1" applyAlignment="1">
      <alignment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3" fontId="1" fillId="11" borderId="19" xfId="0" applyNumberFormat="1" applyFont="1" applyFill="1" applyBorder="1" applyAlignment="1">
      <alignment vertical="center" wrapText="1"/>
    </xf>
    <xf numFmtId="165" fontId="12" fillId="11" borderId="11" xfId="0" applyNumberFormat="1" applyFont="1" applyFill="1" applyBorder="1" applyAlignment="1">
      <alignment horizontal="center" vertical="center" wrapText="1"/>
    </xf>
    <xf numFmtId="164" fontId="1" fillId="11" borderId="11" xfId="0" applyNumberFormat="1" applyFont="1" applyFill="1" applyBorder="1" applyAlignment="1">
      <alignment horizontal="center" vertical="center" wrapText="1"/>
    </xf>
    <xf numFmtId="165" fontId="12" fillId="11" borderId="24" xfId="0" applyNumberFormat="1" applyFont="1" applyFill="1" applyBorder="1" applyAlignment="1">
      <alignment horizontal="center" vertical="center" wrapText="1"/>
    </xf>
    <xf numFmtId="164" fontId="1" fillId="11" borderId="24" xfId="0" applyNumberFormat="1" applyFont="1" applyFill="1" applyBorder="1" applyAlignment="1">
      <alignment horizontal="center" vertical="center" wrapText="1"/>
    </xf>
    <xf numFmtId="164" fontId="1" fillId="11" borderId="19" xfId="0" applyNumberFormat="1" applyFont="1" applyFill="1" applyBorder="1" applyAlignment="1">
      <alignment horizontal="center" vertical="center" wrapText="1"/>
    </xf>
    <xf numFmtId="0" fontId="12" fillId="17" borderId="42" xfId="0" applyFont="1" applyFill="1" applyBorder="1" applyAlignment="1">
      <alignment horizontal="center" vertical="center" wrapText="1"/>
    </xf>
    <xf numFmtId="3" fontId="1" fillId="0" borderId="42" xfId="0" applyNumberFormat="1" applyFont="1" applyBorder="1" applyAlignment="1">
      <alignment horizontal="center" vertical="center" wrapText="1"/>
    </xf>
    <xf numFmtId="3" fontId="1" fillId="0" borderId="43" xfId="0" applyNumberFormat="1" applyFont="1" applyBorder="1" applyAlignment="1">
      <alignment horizontal="center" vertical="center" wrapText="1"/>
    </xf>
    <xf numFmtId="1" fontId="12" fillId="10" borderId="39" xfId="0" applyNumberFormat="1" applyFont="1" applyFill="1" applyBorder="1" applyAlignment="1">
      <alignment horizontal="center" vertical="center" wrapText="1"/>
    </xf>
    <xf numFmtId="164" fontId="0" fillId="11" borderId="39" xfId="0" applyNumberFormat="1" applyFill="1" applyBorder="1" applyAlignment="1">
      <alignment horizontal="center" vertical="center" wrapText="1"/>
    </xf>
    <xf numFmtId="165" fontId="28" fillId="12" borderId="15" xfId="0" applyNumberFormat="1" applyFont="1" applyFill="1" applyBorder="1" applyAlignment="1">
      <alignment horizontal="center" vertical="center" wrapText="1"/>
    </xf>
    <xf numFmtId="165" fontId="1" fillId="11" borderId="19" xfId="0" applyNumberFormat="1" applyFont="1" applyFill="1" applyBorder="1" applyAlignment="1">
      <alignment vertical="center" wrapText="1"/>
    </xf>
    <xf numFmtId="165" fontId="1" fillId="11" borderId="11" xfId="0" applyNumberFormat="1" applyFont="1" applyFill="1" applyBorder="1" applyAlignment="1">
      <alignment vertical="center" wrapText="1"/>
    </xf>
    <xf numFmtId="165" fontId="1" fillId="11" borderId="24" xfId="0" applyNumberFormat="1" applyFont="1" applyFill="1" applyBorder="1" applyAlignment="1">
      <alignment vertical="center" wrapText="1"/>
    </xf>
    <xf numFmtId="165" fontId="0" fillId="11" borderId="40" xfId="0" applyNumberFormat="1" applyFill="1" applyBorder="1" applyAlignment="1">
      <alignment horizontal="center" vertical="center" wrapText="1"/>
    </xf>
    <xf numFmtId="165" fontId="0" fillId="11" borderId="44" xfId="0" applyNumberFormat="1" applyFill="1" applyBorder="1" applyAlignment="1">
      <alignment horizontal="center" vertical="center" wrapText="1"/>
    </xf>
    <xf numFmtId="0" fontId="13" fillId="8" borderId="45" xfId="0" applyFont="1" applyFill="1" applyBorder="1" applyAlignment="1">
      <alignment horizontal="center" vertical="center"/>
    </xf>
    <xf numFmtId="0" fontId="13" fillId="8" borderId="46" xfId="0" applyFont="1" applyFill="1" applyBorder="1" applyAlignment="1">
      <alignment horizontal="center" vertical="center"/>
    </xf>
    <xf numFmtId="0" fontId="13" fillId="9" borderId="47" xfId="0" applyFont="1" applyFill="1" applyBorder="1"/>
    <xf numFmtId="164" fontId="27" fillId="19" borderId="3" xfId="0" applyNumberFormat="1" applyFont="1" applyFill="1" applyBorder="1" applyAlignment="1">
      <alignment horizontal="center" vertical="center" wrapText="1"/>
    </xf>
    <xf numFmtId="165" fontId="27" fillId="19" borderId="3" xfId="0" applyNumberFormat="1" applyFont="1" applyFill="1" applyBorder="1" applyAlignment="1">
      <alignment horizontal="center" vertical="center" wrapText="1"/>
    </xf>
    <xf numFmtId="166" fontId="12" fillId="0" borderId="20" xfId="0" applyNumberFormat="1" applyFont="1" applyBorder="1" applyAlignment="1">
      <alignment horizontal="center" vertical="center" wrapText="1"/>
    </xf>
    <xf numFmtId="166" fontId="12" fillId="0" borderId="14" xfId="0" applyNumberFormat="1" applyFont="1" applyBorder="1" applyAlignment="1">
      <alignment horizontal="center" vertical="center" wrapText="1"/>
    </xf>
    <xf numFmtId="166" fontId="12" fillId="0" borderId="25" xfId="0" applyNumberFormat="1" applyFont="1" applyBorder="1" applyAlignment="1">
      <alignment horizontal="center" vertical="center" wrapText="1"/>
    </xf>
    <xf numFmtId="166" fontId="12" fillId="11" borderId="20" xfId="0" applyNumberFormat="1" applyFont="1" applyFill="1" applyBorder="1" applyAlignment="1">
      <alignment horizontal="center" vertical="center" wrapText="1"/>
    </xf>
    <xf numFmtId="166" fontId="12" fillId="0" borderId="16" xfId="0" applyNumberFormat="1" applyFont="1" applyBorder="1" applyAlignment="1">
      <alignment horizontal="center" vertical="center" wrapText="1"/>
    </xf>
    <xf numFmtId="166" fontId="12" fillId="0" borderId="30" xfId="0" applyNumberFormat="1" applyFont="1" applyBorder="1" applyAlignment="1">
      <alignment horizontal="center" vertical="center" wrapText="1"/>
    </xf>
    <xf numFmtId="166" fontId="12" fillId="0" borderId="31" xfId="0" applyNumberFormat="1" applyFont="1" applyBorder="1" applyAlignment="1">
      <alignment horizontal="center" vertical="center" wrapText="1"/>
    </xf>
    <xf numFmtId="166" fontId="12" fillId="0" borderId="32" xfId="0" applyNumberFormat="1" applyFont="1" applyBorder="1" applyAlignment="1">
      <alignment horizontal="center" vertical="center" wrapText="1"/>
    </xf>
    <xf numFmtId="166" fontId="12" fillId="0" borderId="17" xfId="0" applyNumberFormat="1" applyFont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165" fontId="15" fillId="0" borderId="41" xfId="0" applyNumberFormat="1" applyFont="1" applyBorder="1" applyAlignment="1">
      <alignment horizontal="center" vertical="center" wrapText="1"/>
    </xf>
    <xf numFmtId="3" fontId="1" fillId="11" borderId="49" xfId="0" applyNumberFormat="1" applyFont="1" applyFill="1" applyBorder="1" applyAlignment="1">
      <alignment horizontal="center" vertical="center" wrapText="1"/>
    </xf>
    <xf numFmtId="3" fontId="1" fillId="11" borderId="48" xfId="0" applyNumberFormat="1" applyFont="1" applyFill="1" applyBorder="1" applyAlignment="1">
      <alignment vertical="center" wrapText="1"/>
    </xf>
    <xf numFmtId="3" fontId="1" fillId="11" borderId="50" xfId="0" applyNumberFormat="1" applyFont="1" applyFill="1" applyBorder="1" applyAlignment="1">
      <alignment vertical="center" wrapText="1"/>
    </xf>
    <xf numFmtId="165" fontId="1" fillId="0" borderId="33" xfId="0" applyNumberFormat="1" applyFont="1" applyBorder="1" applyAlignment="1">
      <alignment horizontal="center" vertical="center" wrapText="1"/>
    </xf>
    <xf numFmtId="1" fontId="1" fillId="0" borderId="34" xfId="0" applyNumberFormat="1" applyFont="1" applyBorder="1" applyAlignment="1">
      <alignment horizontal="center" vertical="center" wrapText="1"/>
    </xf>
    <xf numFmtId="165" fontId="1" fillId="0" borderId="35" xfId="0" applyNumberFormat="1" applyFont="1" applyBorder="1" applyAlignment="1">
      <alignment horizontal="center" vertical="center" wrapText="1"/>
    </xf>
    <xf numFmtId="165" fontId="12" fillId="11" borderId="51" xfId="0" applyNumberFormat="1" applyFont="1" applyFill="1" applyBorder="1" applyAlignment="1">
      <alignment horizontal="center" vertical="center" wrapText="1"/>
    </xf>
    <xf numFmtId="165" fontId="12" fillId="11" borderId="52" xfId="0" applyNumberFormat="1" applyFont="1" applyFill="1" applyBorder="1" applyAlignment="1">
      <alignment horizontal="center" vertical="center" wrapText="1"/>
    </xf>
    <xf numFmtId="165" fontId="12" fillId="11" borderId="53" xfId="0" applyNumberFormat="1" applyFont="1" applyFill="1" applyBorder="1" applyAlignment="1">
      <alignment horizontal="center" vertical="center" wrapText="1"/>
    </xf>
    <xf numFmtId="165" fontId="12" fillId="11" borderId="19" xfId="0" applyNumberFormat="1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21" fillId="9" borderId="15" xfId="0" applyFont="1" applyFill="1" applyBorder="1" applyAlignment="1">
      <alignment horizontal="center" vertical="center" wrapText="1"/>
    </xf>
    <xf numFmtId="0" fontId="22" fillId="0" borderId="15" xfId="0" applyFont="1" applyBorder="1"/>
    <xf numFmtId="164" fontId="1" fillId="0" borderId="27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16" fillId="12" borderId="3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0" fontId="21" fillId="9" borderId="27" xfId="0" applyFont="1" applyFill="1" applyBorder="1" applyAlignment="1">
      <alignment horizontal="center" vertical="center" wrapText="1"/>
    </xf>
    <xf numFmtId="0" fontId="22" fillId="0" borderId="28" xfId="0" applyFont="1" applyBorder="1"/>
    <xf numFmtId="0" fontId="22" fillId="0" borderId="29" xfId="0" applyFont="1" applyBorder="1"/>
    <xf numFmtId="0" fontId="18" fillId="0" borderId="3" xfId="0" applyFont="1" applyBorder="1" applyAlignment="1">
      <alignment horizontal="center" vertical="center" wrapText="1"/>
    </xf>
    <xf numFmtId="0" fontId="0" fillId="0" borderId="37" xfId="0" applyBorder="1"/>
    <xf numFmtId="0" fontId="5" fillId="5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4" fillId="4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7" fillId="15" borderId="3" xfId="0" applyFont="1" applyFill="1" applyBorder="1" applyAlignment="1">
      <alignment horizontal="center" vertical="center"/>
    </xf>
    <xf numFmtId="0" fontId="18" fillId="15" borderId="3" xfId="0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 wrapText="1"/>
    </xf>
    <xf numFmtId="165" fontId="1" fillId="0" borderId="11" xfId="0" applyNumberFormat="1" applyFont="1" applyBorder="1" applyAlignment="1">
      <alignment horizontal="center" vertical="center" wrapText="1"/>
    </xf>
    <xf numFmtId="165" fontId="1" fillId="0" borderId="24" xfId="0" applyNumberFormat="1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24" xfId="0" applyNumberFormat="1" applyFont="1" applyBorder="1" applyAlignment="1">
      <alignment horizontal="center" vertical="center" wrapText="1"/>
    </xf>
    <xf numFmtId="3" fontId="1" fillId="0" borderId="19" xfId="0" applyNumberFormat="1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3" fontId="1" fillId="0" borderId="24" xfId="0" applyNumberFormat="1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22" fillId="0" borderId="38" xfId="0" applyFont="1" applyBorder="1"/>
    <xf numFmtId="0" fontId="0" fillId="0" borderId="42" xfId="0" applyBorder="1"/>
    <xf numFmtId="0" fontId="26" fillId="0" borderId="3" xfId="0" applyFont="1" applyBorder="1" applyAlignment="1">
      <alignment horizontal="center" vertical="center"/>
    </xf>
    <xf numFmtId="0" fontId="26" fillId="14" borderId="3" xfId="0" applyFont="1" applyFill="1" applyBorder="1" applyAlignment="1">
      <alignment horizontal="center" vertical="center"/>
    </xf>
    <xf numFmtId="0" fontId="26" fillId="15" borderId="3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29" fillId="20" borderId="39" xfId="0" applyFont="1" applyFill="1" applyBorder="1" applyAlignment="1">
      <alignment horizontal="center" vertical="center"/>
    </xf>
    <xf numFmtId="0" fontId="29" fillId="20" borderId="11" xfId="0" applyFont="1" applyFill="1" applyBorder="1" applyAlignment="1">
      <alignment horizontal="center" vertical="center"/>
    </xf>
    <xf numFmtId="0" fontId="29" fillId="20" borderId="39" xfId="0" applyFont="1" applyFill="1" applyBorder="1" applyAlignment="1">
      <alignment horizontal="center" vertical="center" wrapText="1"/>
    </xf>
    <xf numFmtId="0" fontId="29" fillId="2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5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color theme="5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showGridLines="0" zoomScale="55" zoomScaleNormal="55" workbookViewId="0">
      <pane xSplit="2" topLeftCell="C1" activePane="topRight" state="frozen"/>
      <selection activeCell="A3" sqref="A3"/>
      <selection pane="topRight" activeCell="B20" sqref="B20"/>
    </sheetView>
  </sheetViews>
  <sheetFormatPr defaultRowHeight="14.5"/>
  <cols>
    <col min="1" max="1" width="35.90625" customWidth="1"/>
    <col min="2" max="2" width="8.54296875" bestFit="1" customWidth="1"/>
    <col min="3" max="3" width="19.81640625" customWidth="1"/>
    <col min="4" max="4" width="6.26953125" hidden="1" customWidth="1"/>
    <col min="5" max="5" width="11.7265625" bestFit="1" customWidth="1"/>
    <col min="6" max="6" width="8.54296875" customWidth="1"/>
    <col min="7" max="7" width="10.26953125" bestFit="1" customWidth="1"/>
    <col min="8" max="8" width="18.26953125" hidden="1" customWidth="1"/>
    <col min="9" max="9" width="18.90625" customWidth="1"/>
    <col min="10" max="10" width="14" bestFit="1" customWidth="1"/>
    <col min="11" max="11" width="12.81640625" bestFit="1" customWidth="1"/>
    <col min="12" max="12" width="12" bestFit="1" customWidth="1"/>
    <col min="13" max="13" width="19.54296875" bestFit="1" customWidth="1"/>
    <col min="14" max="14" width="14" bestFit="1" customWidth="1"/>
    <col min="15" max="15" width="14.1796875" customWidth="1"/>
    <col min="16" max="16" width="9.81640625" customWidth="1"/>
    <col min="17" max="17" width="19.54296875" bestFit="1" customWidth="1"/>
    <col min="18" max="18" width="19.7265625" bestFit="1" customWidth="1"/>
    <col min="19" max="19" width="12" bestFit="1" customWidth="1"/>
    <col min="20" max="20" width="8.1796875" customWidth="1"/>
    <col min="21" max="21" width="19.54296875" bestFit="1" customWidth="1"/>
    <col min="22" max="22" width="14" customWidth="1"/>
    <col min="23" max="24" width="12.1796875" customWidth="1"/>
    <col min="25" max="25" width="14" customWidth="1"/>
    <col min="26" max="26" width="12.1796875" bestFit="1" customWidth="1"/>
    <col min="27" max="27" width="7.26953125" customWidth="1"/>
    <col min="28" max="28" width="12.1796875" bestFit="1" customWidth="1"/>
    <col min="29" max="29" width="10.54296875" bestFit="1" customWidth="1"/>
    <col min="31" max="31" width="7.1796875" bestFit="1" customWidth="1"/>
    <col min="32" max="32" width="5.90625" bestFit="1" customWidth="1"/>
  </cols>
  <sheetData>
    <row r="1" spans="1:32">
      <c r="AE1" t="s">
        <v>1</v>
      </c>
      <c r="AF1">
        <v>5.5</v>
      </c>
    </row>
    <row r="2" spans="1:32" ht="21">
      <c r="A2" s="177" t="s">
        <v>26</v>
      </c>
      <c r="B2" s="178"/>
      <c r="C2" s="179"/>
      <c r="D2" s="1"/>
      <c r="E2" s="176" t="s">
        <v>27</v>
      </c>
      <c r="F2" s="174"/>
      <c r="G2" s="174"/>
      <c r="H2" s="174"/>
      <c r="I2" s="174"/>
      <c r="J2" s="175"/>
      <c r="K2" s="1"/>
      <c r="L2" s="173" t="s">
        <v>28</v>
      </c>
      <c r="M2" s="174"/>
      <c r="N2" s="174"/>
      <c r="O2" s="175"/>
      <c r="P2" s="1"/>
      <c r="Q2" s="206" t="s">
        <v>2</v>
      </c>
      <c r="R2" s="174"/>
      <c r="S2" s="174"/>
      <c r="T2" s="174"/>
      <c r="U2" s="175"/>
      <c r="V2" s="1"/>
      <c r="W2" s="1"/>
      <c r="X2" s="1"/>
      <c r="AE2" t="s">
        <v>3</v>
      </c>
      <c r="AF2">
        <v>12</v>
      </c>
    </row>
    <row r="3" spans="1:32" ht="23.5">
      <c r="A3" s="180">
        <f>COUNTA(A9:A29)</f>
        <v>7</v>
      </c>
      <c r="B3" s="181"/>
      <c r="C3" s="182"/>
      <c r="D3" s="2"/>
      <c r="E3" s="186">
        <f>SUM(C9:C29)</f>
        <v>37639</v>
      </c>
      <c r="F3" s="187"/>
      <c r="G3" s="187"/>
      <c r="H3" s="187"/>
      <c r="I3" s="187"/>
      <c r="J3" s="188"/>
      <c r="K3" s="2"/>
      <c r="L3" s="194">
        <f>COUNTIF(G9:G29,"&lt;3")</f>
        <v>0</v>
      </c>
      <c r="M3" s="187"/>
      <c r="N3" s="187"/>
      <c r="O3" s="188"/>
      <c r="P3" s="2"/>
      <c r="Q3" s="207">
        <f>MIN(I9:I29)</f>
        <v>46172.032558139537</v>
      </c>
      <c r="R3" s="187"/>
      <c r="S3" s="187"/>
      <c r="T3" s="187"/>
      <c r="U3" s="188"/>
      <c r="V3" s="2"/>
      <c r="W3" s="2"/>
      <c r="X3" s="2"/>
      <c r="AE3" t="s">
        <v>4</v>
      </c>
      <c r="AF3">
        <v>50</v>
      </c>
    </row>
    <row r="4" spans="1:32" ht="23.5">
      <c r="A4" s="183"/>
      <c r="B4" s="184"/>
      <c r="C4" s="185"/>
      <c r="D4" s="2"/>
      <c r="E4" s="189"/>
      <c r="F4" s="190"/>
      <c r="G4" s="190"/>
      <c r="H4" s="190"/>
      <c r="I4" s="190"/>
      <c r="J4" s="191"/>
      <c r="K4" s="2"/>
      <c r="L4" s="189"/>
      <c r="M4" s="190"/>
      <c r="N4" s="190"/>
      <c r="O4" s="191"/>
      <c r="P4" s="2"/>
      <c r="Q4" s="189"/>
      <c r="R4" s="190"/>
      <c r="S4" s="190"/>
      <c r="T4" s="190"/>
      <c r="U4" s="191"/>
      <c r="V4" s="2"/>
      <c r="W4" s="2"/>
      <c r="X4" s="2"/>
    </row>
    <row r="6" spans="1:32" ht="15.5">
      <c r="A6" s="158" t="s">
        <v>5</v>
      </c>
      <c r="B6" s="158" t="s">
        <v>0</v>
      </c>
      <c r="C6" s="158" t="s">
        <v>37</v>
      </c>
      <c r="D6" s="158" t="s">
        <v>6</v>
      </c>
      <c r="E6" s="158" t="s">
        <v>7</v>
      </c>
      <c r="F6" s="165" t="s">
        <v>8</v>
      </c>
      <c r="G6" s="165" t="s">
        <v>9</v>
      </c>
      <c r="H6" s="165" t="s">
        <v>10</v>
      </c>
      <c r="I6" s="165" t="s">
        <v>11</v>
      </c>
      <c r="J6" s="167" t="s">
        <v>18</v>
      </c>
      <c r="K6" s="159"/>
      <c r="L6" s="159"/>
      <c r="M6" s="159"/>
      <c r="N6" s="195" t="s">
        <v>29</v>
      </c>
      <c r="O6" s="196"/>
      <c r="P6" s="196"/>
      <c r="Q6" s="196"/>
      <c r="R6" s="192" t="s">
        <v>30</v>
      </c>
      <c r="S6" s="193"/>
      <c r="T6" s="193"/>
      <c r="U6" s="193"/>
      <c r="V6" s="158" t="s">
        <v>12</v>
      </c>
    </row>
    <row r="7" spans="1:32" ht="36" customHeight="1">
      <c r="A7" s="159"/>
      <c r="B7" s="159"/>
      <c r="C7" s="171"/>
      <c r="D7" s="159"/>
      <c r="E7" s="159"/>
      <c r="F7" s="159"/>
      <c r="G7" s="159"/>
      <c r="H7" s="159"/>
      <c r="I7" s="159"/>
      <c r="J7" s="14" t="s">
        <v>32</v>
      </c>
      <c r="K7" s="14" t="s">
        <v>13</v>
      </c>
      <c r="L7" s="14" t="s">
        <v>14</v>
      </c>
      <c r="M7" s="15" t="s">
        <v>31</v>
      </c>
      <c r="N7" s="16" t="s">
        <v>32</v>
      </c>
      <c r="O7" s="16" t="s">
        <v>15</v>
      </c>
      <c r="P7" s="16" t="s">
        <v>16</v>
      </c>
      <c r="Q7" s="17" t="s">
        <v>33</v>
      </c>
      <c r="R7" s="18" t="s">
        <v>32</v>
      </c>
      <c r="S7" s="18" t="s">
        <v>34</v>
      </c>
      <c r="T7" s="18" t="s">
        <v>35</v>
      </c>
      <c r="U7" s="19" t="s">
        <v>36</v>
      </c>
      <c r="V7" s="159"/>
    </row>
    <row r="8" spans="1:32" ht="16" thickBo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</row>
    <row r="9" spans="1:32" ht="15.5">
      <c r="A9" s="168" t="s">
        <v>20</v>
      </c>
      <c r="B9" s="68" t="s">
        <v>1</v>
      </c>
      <c r="C9" s="51">
        <v>1110</v>
      </c>
      <c r="D9" s="52">
        <f t="shared" ref="D9:D14" si="0">C9*VLOOKUP(B9,$AE$1:$AF$3,2,FALSE)/1000</f>
        <v>6.1050000000000004</v>
      </c>
      <c r="E9" s="162">
        <f>SUM(D9:D11)</f>
        <v>18.439</v>
      </c>
      <c r="F9" s="62">
        <v>34</v>
      </c>
      <c r="G9" s="57">
        <f t="shared" ref="G9:G11" si="1">IFERROR(C9/F9,"")</f>
        <v>32.647058823529413</v>
      </c>
      <c r="H9" s="27">
        <v>46169</v>
      </c>
      <c r="I9" s="28">
        <f t="shared" ref="I9:I11" si="2">IF(H9="","",H9+G9)</f>
        <v>46201.647058823532</v>
      </c>
      <c r="J9" s="29"/>
      <c r="K9" s="30"/>
      <c r="L9" s="31"/>
      <c r="M9" s="32" t="str">
        <f t="shared" ref="M9:M29" si="3">IF(L9="","",L9+K9)</f>
        <v/>
      </c>
      <c r="N9" s="29"/>
      <c r="O9" s="30"/>
      <c r="P9" s="31"/>
      <c r="Q9" s="33" t="str">
        <f t="shared" ref="Q9:Q11" si="4">IF(P9="","",P9+O9)</f>
        <v/>
      </c>
      <c r="R9" s="203"/>
      <c r="S9" s="197"/>
      <c r="T9" s="200"/>
      <c r="U9" s="197"/>
      <c r="V9" s="34" t="str">
        <f>IF(G9&lt;3,"KRITIS",IF(G9&lt;7,"WARNING","AMAN"))</f>
        <v>AMAN</v>
      </c>
    </row>
    <row r="10" spans="1:32" ht="15.5">
      <c r="A10" s="169"/>
      <c r="B10" s="69" t="s">
        <v>3</v>
      </c>
      <c r="C10" s="53">
        <v>507</v>
      </c>
      <c r="D10" s="54">
        <f t="shared" si="0"/>
        <v>6.0839999999999996</v>
      </c>
      <c r="E10" s="163"/>
      <c r="F10" s="63">
        <v>95</v>
      </c>
      <c r="G10" s="5">
        <f t="shared" si="1"/>
        <v>5.3368421052631581</v>
      </c>
      <c r="H10" s="9">
        <v>46169</v>
      </c>
      <c r="I10" s="24">
        <f t="shared" si="2"/>
        <v>46174.336842105266</v>
      </c>
      <c r="J10" s="8">
        <v>2388</v>
      </c>
      <c r="K10" s="12">
        <v>46179</v>
      </c>
      <c r="L10" s="7">
        <f>J10/(SUM(G9:G11))</f>
        <v>40.600344949196312</v>
      </c>
      <c r="M10" s="11">
        <f t="shared" si="3"/>
        <v>46219.600344949198</v>
      </c>
      <c r="N10" s="8">
        <v>5892</v>
      </c>
      <c r="O10" s="12">
        <v>46182</v>
      </c>
      <c r="P10" s="7">
        <f>N10/(SUM(G9:G11))</f>
        <v>100.17472045253965</v>
      </c>
      <c r="Q10" s="11">
        <f t="shared" si="4"/>
        <v>46282.174720452538</v>
      </c>
      <c r="R10" s="204"/>
      <c r="S10" s="198"/>
      <c r="T10" s="201"/>
      <c r="U10" s="198"/>
      <c r="V10" s="35" t="str">
        <f t="shared" ref="V10:V29" si="5">IF(G10&lt;3,"KRITIS",IF(G10&lt;7,"WARNING","AMAN"))</f>
        <v>WARNING</v>
      </c>
    </row>
    <row r="11" spans="1:32" ht="16" thickBot="1">
      <c r="A11" s="170"/>
      <c r="B11" s="70" t="s">
        <v>4</v>
      </c>
      <c r="C11" s="55">
        <v>125</v>
      </c>
      <c r="D11" s="56">
        <f t="shared" si="0"/>
        <v>6.25</v>
      </c>
      <c r="E11" s="164"/>
      <c r="F11" s="64">
        <v>6</v>
      </c>
      <c r="G11" s="58">
        <f t="shared" si="1"/>
        <v>20.833333333333332</v>
      </c>
      <c r="H11" s="36">
        <v>46169</v>
      </c>
      <c r="I11" s="37">
        <f t="shared" si="2"/>
        <v>46189.833333333336</v>
      </c>
      <c r="J11" s="38"/>
      <c r="K11" s="39"/>
      <c r="L11" s="40"/>
      <c r="M11" s="41" t="str">
        <f t="shared" si="3"/>
        <v/>
      </c>
      <c r="N11" s="38"/>
      <c r="O11" s="39"/>
      <c r="P11" s="40"/>
      <c r="Q11" s="41" t="str">
        <f t="shared" si="4"/>
        <v/>
      </c>
      <c r="R11" s="205"/>
      <c r="S11" s="199"/>
      <c r="T11" s="202"/>
      <c r="U11" s="199"/>
      <c r="V11" s="43" t="str">
        <f t="shared" si="5"/>
        <v>AMAN</v>
      </c>
    </row>
    <row r="12" spans="1:32" ht="16" thickBot="1">
      <c r="A12" s="160" t="s">
        <v>21</v>
      </c>
      <c r="B12" s="68" t="s">
        <v>1</v>
      </c>
      <c r="C12" s="51">
        <v>2197</v>
      </c>
      <c r="D12" s="52">
        <f t="shared" si="0"/>
        <v>12.083500000000001</v>
      </c>
      <c r="E12" s="162">
        <f>SUM(D12:D14)</f>
        <v>68.375500000000002</v>
      </c>
      <c r="F12" s="62">
        <v>118</v>
      </c>
      <c r="G12" s="57">
        <f>IFERROR(C12/F12,"")</f>
        <v>18.618644067796609</v>
      </c>
      <c r="H12" s="27">
        <v>46169</v>
      </c>
      <c r="I12" s="44">
        <f>IF(H12="","",H12+G12)</f>
        <v>46187.618644067799</v>
      </c>
      <c r="J12" s="29"/>
      <c r="K12" s="30"/>
      <c r="L12" s="31"/>
      <c r="M12" s="45" t="str">
        <f t="shared" si="3"/>
        <v/>
      </c>
      <c r="N12" s="29"/>
      <c r="O12" s="30"/>
      <c r="P12" s="31"/>
      <c r="Q12" s="45" t="str">
        <f t="shared" ref="Q12:Q14" si="6">IF(P12="","",P12+O12)</f>
        <v/>
      </c>
      <c r="R12" s="29"/>
      <c r="S12" s="30"/>
      <c r="T12" s="31"/>
      <c r="U12" s="45" t="str">
        <f t="shared" ref="U12:U14" si="7">IF(T12="","",T12+S12)</f>
        <v/>
      </c>
      <c r="V12" s="34" t="str">
        <f t="shared" si="5"/>
        <v>AMAN</v>
      </c>
    </row>
    <row r="13" spans="1:32" ht="16" thickBot="1">
      <c r="A13" s="161"/>
      <c r="B13" s="69" t="s">
        <v>3</v>
      </c>
      <c r="C13" s="53">
        <v>2791</v>
      </c>
      <c r="D13" s="54">
        <f t="shared" si="0"/>
        <v>33.491999999999997</v>
      </c>
      <c r="E13" s="163"/>
      <c r="F13" s="63">
        <v>253</v>
      </c>
      <c r="G13" s="5">
        <f>IFERROR(C13/F13,"")</f>
        <v>11.031620553359684</v>
      </c>
      <c r="H13" s="9">
        <v>46169</v>
      </c>
      <c r="I13" s="24">
        <f t="shared" ref="I13:I14" si="8">IF(H13="","",H13+G13)</f>
        <v>46180.03162055336</v>
      </c>
      <c r="J13" s="8">
        <v>1320</v>
      </c>
      <c r="K13" s="12">
        <v>46178</v>
      </c>
      <c r="L13" s="7">
        <f>J13/(SUM(G12:G14))</f>
        <v>24.007159391289285</v>
      </c>
      <c r="M13" s="11">
        <f t="shared" si="3"/>
        <v>46202.007159391287</v>
      </c>
      <c r="N13" s="8">
        <v>5500</v>
      </c>
      <c r="O13" s="12">
        <v>46185</v>
      </c>
      <c r="P13" s="7">
        <f>N13/(SUM($G$12:$G$14))</f>
        <v>100.0298307970387</v>
      </c>
      <c r="Q13" s="11">
        <f t="shared" si="6"/>
        <v>46285.029830797037</v>
      </c>
      <c r="R13" s="8">
        <v>1320</v>
      </c>
      <c r="S13" s="12">
        <v>46190</v>
      </c>
      <c r="T13" s="7">
        <f>R13/(SUM($G$12:$G$14))</f>
        <v>24.007159391289285</v>
      </c>
      <c r="U13" s="11">
        <f>IF(T13="","",T13+S13)</f>
        <v>46214.007159391287</v>
      </c>
      <c r="V13" s="35" t="str">
        <f t="shared" si="5"/>
        <v>AMAN</v>
      </c>
    </row>
    <row r="14" spans="1:32" ht="16" thickBot="1">
      <c r="A14" s="161"/>
      <c r="B14" s="70" t="s">
        <v>4</v>
      </c>
      <c r="C14" s="55">
        <v>456</v>
      </c>
      <c r="D14" s="56">
        <f t="shared" si="0"/>
        <v>22.8</v>
      </c>
      <c r="E14" s="164"/>
      <c r="F14" s="64">
        <v>18</v>
      </c>
      <c r="G14" s="58">
        <f>IFERROR(C14/F14,"")</f>
        <v>25.333333333333332</v>
      </c>
      <c r="H14" s="36">
        <v>46169</v>
      </c>
      <c r="I14" s="37">
        <f t="shared" si="8"/>
        <v>46194.333333333336</v>
      </c>
      <c r="J14" s="38"/>
      <c r="K14" s="39"/>
      <c r="L14" s="40"/>
      <c r="M14" s="41" t="str">
        <f t="shared" si="3"/>
        <v/>
      </c>
      <c r="N14" s="38"/>
      <c r="O14" s="39"/>
      <c r="P14" s="40"/>
      <c r="Q14" s="41" t="str">
        <f t="shared" si="6"/>
        <v/>
      </c>
      <c r="R14" s="38"/>
      <c r="S14" s="39"/>
      <c r="T14" s="40"/>
      <c r="U14" s="41" t="str">
        <f t="shared" si="7"/>
        <v/>
      </c>
      <c r="V14" s="43" t="str">
        <f t="shared" si="5"/>
        <v>AMAN</v>
      </c>
    </row>
    <row r="15" spans="1:32" ht="16" thickBot="1">
      <c r="A15" s="160" t="s">
        <v>19</v>
      </c>
      <c r="B15" s="68" t="s">
        <v>1</v>
      </c>
      <c r="C15" s="51">
        <v>2632</v>
      </c>
      <c r="D15" s="52">
        <f t="shared" ref="D15:D23" si="9">C15*VLOOKUP(B15,$AE$1:$AF$3,2,FALSE)/1000</f>
        <v>14.476000000000001</v>
      </c>
      <c r="E15" s="162">
        <f>SUM(D15:D17)</f>
        <v>103.11799999999999</v>
      </c>
      <c r="F15" s="62">
        <v>200</v>
      </c>
      <c r="G15" s="57">
        <f>IFERROR(C15/F15,"")</f>
        <v>13.16</v>
      </c>
      <c r="H15" s="27">
        <v>46169</v>
      </c>
      <c r="I15" s="28">
        <f t="shared" ref="I15:I23" si="10">IF(H15="","",H15+G15)</f>
        <v>46182.16</v>
      </c>
      <c r="J15" s="29"/>
      <c r="K15" s="30"/>
      <c r="L15" s="31"/>
      <c r="M15" s="46" t="str">
        <f t="shared" si="3"/>
        <v/>
      </c>
      <c r="N15" s="29"/>
      <c r="O15" s="30"/>
      <c r="P15" s="31"/>
      <c r="Q15" s="46" t="str">
        <f t="shared" ref="Q15:Q20" si="11">IF(P15="","",P15+O15)</f>
        <v/>
      </c>
      <c r="R15" s="29"/>
      <c r="S15" s="30"/>
      <c r="T15" s="31"/>
      <c r="U15" s="46" t="str">
        <f>IF(T15="","",T15+S15)</f>
        <v/>
      </c>
      <c r="V15" s="34" t="str">
        <f t="shared" si="5"/>
        <v>AMAN</v>
      </c>
    </row>
    <row r="16" spans="1:32" ht="16" thickBot="1">
      <c r="A16" s="161"/>
      <c r="B16" s="69" t="s">
        <v>3</v>
      </c>
      <c r="C16" s="53">
        <v>3341</v>
      </c>
      <c r="D16" s="54">
        <f t="shared" si="9"/>
        <v>40.091999999999999</v>
      </c>
      <c r="E16" s="163"/>
      <c r="F16" s="63">
        <v>340</v>
      </c>
      <c r="G16" s="5">
        <f t="shared" ref="G16:G23" si="12">IFERROR(C16/F16,"")</f>
        <v>9.8264705882352938</v>
      </c>
      <c r="H16" s="9">
        <v>46169</v>
      </c>
      <c r="I16" s="24">
        <f t="shared" si="10"/>
        <v>46178.826470588232</v>
      </c>
      <c r="J16" s="8">
        <v>667</v>
      </c>
      <c r="K16" s="12">
        <v>46173</v>
      </c>
      <c r="L16" s="7">
        <f>J16/(SUM(G15:G17))</f>
        <v>19.748124381970072</v>
      </c>
      <c r="M16" s="10">
        <f t="shared" si="3"/>
        <v>46192.748124381971</v>
      </c>
      <c r="N16" s="8">
        <v>1464</v>
      </c>
      <c r="O16" s="12">
        <v>46187</v>
      </c>
      <c r="P16" s="7">
        <f>N16/33.8</f>
        <v>43.313609467455628</v>
      </c>
      <c r="Q16" s="10">
        <f t="shared" si="11"/>
        <v>46230.313609467456</v>
      </c>
      <c r="R16" s="8">
        <v>1566</v>
      </c>
      <c r="S16" s="12">
        <v>46189</v>
      </c>
      <c r="T16" s="7">
        <f>R16/33.8</f>
        <v>46.331360946745569</v>
      </c>
      <c r="U16" s="10">
        <f>IF(S16="","",S16+T16)</f>
        <v>46235.331360946744</v>
      </c>
      <c r="V16" s="35" t="str">
        <f t="shared" si="5"/>
        <v>AMAN</v>
      </c>
    </row>
    <row r="17" spans="1:25" ht="16" thickBot="1">
      <c r="A17" s="161"/>
      <c r="B17" s="70" t="s">
        <v>4</v>
      </c>
      <c r="C17" s="55">
        <v>971</v>
      </c>
      <c r="D17" s="56">
        <f t="shared" si="9"/>
        <v>48.55</v>
      </c>
      <c r="E17" s="164"/>
      <c r="F17" s="64">
        <v>90</v>
      </c>
      <c r="G17" s="58">
        <f t="shared" si="12"/>
        <v>10.78888888888889</v>
      </c>
      <c r="H17" s="36">
        <v>46169</v>
      </c>
      <c r="I17" s="37">
        <f t="shared" si="10"/>
        <v>46179.788888888892</v>
      </c>
      <c r="J17" s="38"/>
      <c r="K17" s="39"/>
      <c r="L17" s="40"/>
      <c r="M17" s="47" t="str">
        <f t="shared" si="3"/>
        <v/>
      </c>
      <c r="N17" s="38"/>
      <c r="O17" s="39"/>
      <c r="P17" s="40"/>
      <c r="Q17" s="47" t="str">
        <f t="shared" si="11"/>
        <v/>
      </c>
      <c r="R17" s="38"/>
      <c r="S17" s="39"/>
      <c r="T17" s="40"/>
      <c r="U17" s="47" t="str">
        <f>IF(T17="","",T17+S17)</f>
        <v/>
      </c>
      <c r="V17" s="43" t="str">
        <f t="shared" si="5"/>
        <v>AMAN</v>
      </c>
    </row>
    <row r="18" spans="1:25" ht="16" thickBot="1">
      <c r="A18" s="160" t="s">
        <v>22</v>
      </c>
      <c r="B18" s="68" t="s">
        <v>1</v>
      </c>
      <c r="C18" s="51">
        <v>2210</v>
      </c>
      <c r="D18" s="52">
        <f t="shared" si="9"/>
        <v>12.154999999999999</v>
      </c>
      <c r="E18" s="162">
        <f>SUM(D18:D20)</f>
        <v>92.888999999999996</v>
      </c>
      <c r="F18" s="62">
        <v>275</v>
      </c>
      <c r="G18" s="57">
        <f>IFERROR(C18/F18,"")</f>
        <v>8.036363636363637</v>
      </c>
      <c r="H18" s="48">
        <v>46169</v>
      </c>
      <c r="I18" s="28">
        <f t="shared" si="10"/>
        <v>46177.036363636362</v>
      </c>
      <c r="J18" s="29"/>
      <c r="K18" s="30"/>
      <c r="L18" s="31"/>
      <c r="M18" s="46" t="str">
        <f t="shared" si="3"/>
        <v/>
      </c>
      <c r="N18" s="29"/>
      <c r="O18" s="30"/>
      <c r="P18" s="31"/>
      <c r="Q18" s="46" t="str">
        <f t="shared" si="11"/>
        <v/>
      </c>
      <c r="R18" s="29"/>
      <c r="S18" s="30"/>
      <c r="T18" s="31"/>
      <c r="U18" s="46" t="str">
        <f>IF(T18="","",T18+S18)</f>
        <v/>
      </c>
      <c r="V18" s="34" t="str">
        <f t="shared" si="5"/>
        <v>AMAN</v>
      </c>
    </row>
    <row r="19" spans="1:25" ht="16" thickBot="1">
      <c r="A19" s="161"/>
      <c r="B19" s="69" t="s">
        <v>3</v>
      </c>
      <c r="C19" s="53">
        <v>5332</v>
      </c>
      <c r="D19" s="54">
        <f t="shared" si="9"/>
        <v>63.984000000000002</v>
      </c>
      <c r="E19" s="163"/>
      <c r="F19" s="63">
        <v>355</v>
      </c>
      <c r="G19" s="5">
        <f t="shared" si="12"/>
        <v>15.019718309859154</v>
      </c>
      <c r="H19" s="22">
        <v>46169</v>
      </c>
      <c r="I19" s="24">
        <f t="shared" si="10"/>
        <v>46184.019718309857</v>
      </c>
      <c r="J19" s="8">
        <f>473+282+420+350+596+36</f>
        <v>2157</v>
      </c>
      <c r="K19" s="12">
        <v>46175</v>
      </c>
      <c r="L19" s="7">
        <f>J19/(SUM(G18:G20))</f>
        <v>61.592728577558283</v>
      </c>
      <c r="M19" s="10">
        <f t="shared" si="3"/>
        <v>46236.592728577562</v>
      </c>
      <c r="N19" s="8">
        <f>420+380+248+360+54</f>
        <v>1462</v>
      </c>
      <c r="O19" s="12">
        <v>46180</v>
      </c>
      <c r="P19" s="7">
        <f>N19/33.8</f>
        <v>43.254437869822489</v>
      </c>
      <c r="Q19" s="10">
        <f t="shared" si="11"/>
        <v>46223.254437869822</v>
      </c>
      <c r="R19" s="8">
        <f>504+200+412+498+359</f>
        <v>1973</v>
      </c>
      <c r="S19" s="12">
        <v>46189</v>
      </c>
      <c r="T19" s="7">
        <f>R19/33.8</f>
        <v>58.372781065088759</v>
      </c>
      <c r="U19" s="10">
        <f>IF(S19="","",S19+T19)</f>
        <v>46247.372781065089</v>
      </c>
      <c r="V19" s="35" t="str">
        <f t="shared" si="5"/>
        <v>AMAN</v>
      </c>
    </row>
    <row r="20" spans="1:25" ht="16" thickBot="1">
      <c r="A20" s="161"/>
      <c r="B20" s="70" t="s">
        <v>4</v>
      </c>
      <c r="C20" s="55">
        <v>335</v>
      </c>
      <c r="D20" s="56">
        <f t="shared" si="9"/>
        <v>16.75</v>
      </c>
      <c r="E20" s="164"/>
      <c r="F20" s="64">
        <v>28</v>
      </c>
      <c r="G20" s="58">
        <f t="shared" si="12"/>
        <v>11.964285714285714</v>
      </c>
      <c r="H20" s="23">
        <v>46169</v>
      </c>
      <c r="I20" s="25">
        <f t="shared" si="10"/>
        <v>46180.964285714283</v>
      </c>
      <c r="J20" s="38"/>
      <c r="K20" s="39"/>
      <c r="L20" s="40"/>
      <c r="M20" s="47" t="str">
        <f t="shared" si="3"/>
        <v/>
      </c>
      <c r="N20" s="38"/>
      <c r="O20" s="39"/>
      <c r="P20" s="40"/>
      <c r="Q20" s="47" t="str">
        <f t="shared" si="11"/>
        <v/>
      </c>
      <c r="R20" s="38"/>
      <c r="S20" s="39"/>
      <c r="T20" s="40"/>
      <c r="U20" s="47" t="str">
        <f>IF(T20="","",T20+S20)</f>
        <v/>
      </c>
      <c r="V20" s="43" t="str">
        <f t="shared" si="5"/>
        <v>AMAN</v>
      </c>
    </row>
    <row r="21" spans="1:25" ht="16" thickBot="1">
      <c r="A21" s="160" t="s">
        <v>23</v>
      </c>
      <c r="B21" s="68" t="s">
        <v>1</v>
      </c>
      <c r="C21" s="51">
        <v>652</v>
      </c>
      <c r="D21" s="52">
        <f t="shared" si="9"/>
        <v>3.5859999999999999</v>
      </c>
      <c r="E21" s="162">
        <f>SUM(D21:D23)</f>
        <v>34.347999999999999</v>
      </c>
      <c r="F21" s="62">
        <v>215</v>
      </c>
      <c r="G21" s="57">
        <f t="shared" si="12"/>
        <v>3.0325581395348835</v>
      </c>
      <c r="H21" s="65">
        <v>46169</v>
      </c>
      <c r="I21" s="59">
        <f t="shared" si="10"/>
        <v>46172.032558139537</v>
      </c>
      <c r="J21" s="29"/>
      <c r="K21" s="30"/>
      <c r="L21" s="31"/>
      <c r="M21" s="45" t="str">
        <f t="shared" si="3"/>
        <v/>
      </c>
      <c r="N21" s="29"/>
      <c r="O21" s="30"/>
      <c r="P21" s="31"/>
      <c r="Q21" s="45" t="str">
        <f t="shared" ref="Q21:Q23" si="13">IF(P21="","",P21+O21)</f>
        <v/>
      </c>
      <c r="R21" s="33"/>
      <c r="S21" s="33"/>
      <c r="T21" s="33"/>
      <c r="U21" s="33"/>
      <c r="V21" s="34" t="str">
        <f t="shared" si="5"/>
        <v>WARNING</v>
      </c>
    </row>
    <row r="22" spans="1:25" ht="16" thickBot="1">
      <c r="A22" s="161"/>
      <c r="B22" s="69" t="s">
        <v>3</v>
      </c>
      <c r="C22" s="53">
        <v>2176</v>
      </c>
      <c r="D22" s="54">
        <f t="shared" si="9"/>
        <v>26.111999999999998</v>
      </c>
      <c r="E22" s="163"/>
      <c r="F22" s="63">
        <v>434</v>
      </c>
      <c r="G22" s="5">
        <f t="shared" si="12"/>
        <v>5.0138248847926263</v>
      </c>
      <c r="H22" s="66">
        <v>46169</v>
      </c>
      <c r="I22" s="60">
        <f t="shared" si="10"/>
        <v>46174.013824884794</v>
      </c>
      <c r="J22" s="8">
        <f>1615+2268</f>
        <v>3883</v>
      </c>
      <c r="K22" s="12">
        <v>46172</v>
      </c>
      <c r="L22" s="7">
        <f>J22/(SUM(83+116))</f>
        <v>19.512562814070353</v>
      </c>
      <c r="M22" s="11">
        <f t="shared" si="3"/>
        <v>46191.512562814067</v>
      </c>
      <c r="N22" s="8">
        <f>1200+1130</f>
        <v>2330</v>
      </c>
      <c r="O22" s="12">
        <v>46173</v>
      </c>
      <c r="P22" s="7">
        <f>N22/(SUM(63+200))</f>
        <v>8.8593155893536117</v>
      </c>
      <c r="Q22" s="11">
        <f t="shared" si="13"/>
        <v>46181.859315589354</v>
      </c>
      <c r="R22" s="9"/>
      <c r="S22" s="9"/>
      <c r="T22" s="9"/>
      <c r="U22" s="9"/>
      <c r="V22" s="35" t="str">
        <f t="shared" si="5"/>
        <v>WARNING</v>
      </c>
    </row>
    <row r="23" spans="1:25" ht="16" thickBot="1">
      <c r="A23" s="161"/>
      <c r="B23" s="70" t="s">
        <v>4</v>
      </c>
      <c r="C23" s="55">
        <v>93</v>
      </c>
      <c r="D23" s="56">
        <f t="shared" si="9"/>
        <v>4.6500000000000004</v>
      </c>
      <c r="E23" s="164"/>
      <c r="F23" s="64">
        <v>26</v>
      </c>
      <c r="G23" s="58">
        <f t="shared" si="12"/>
        <v>3.5769230769230771</v>
      </c>
      <c r="H23" s="67">
        <v>46169</v>
      </c>
      <c r="I23" s="61">
        <f t="shared" si="10"/>
        <v>46172.576923076922</v>
      </c>
      <c r="J23" s="38"/>
      <c r="K23" s="39"/>
      <c r="L23" s="40"/>
      <c r="M23" s="41" t="str">
        <f t="shared" si="3"/>
        <v/>
      </c>
      <c r="N23" s="38"/>
      <c r="O23" s="39"/>
      <c r="P23" s="40"/>
      <c r="Q23" s="42" t="str">
        <f t="shared" si="13"/>
        <v/>
      </c>
      <c r="R23" s="42"/>
      <c r="S23" s="42"/>
      <c r="T23" s="42"/>
      <c r="U23" s="42"/>
      <c r="V23" s="43" t="str">
        <f t="shared" si="5"/>
        <v>WARNING</v>
      </c>
    </row>
    <row r="24" spans="1:25" ht="16" thickBot="1">
      <c r="A24" s="160" t="s">
        <v>24</v>
      </c>
      <c r="B24" s="68" t="s">
        <v>1</v>
      </c>
      <c r="C24" s="51">
        <f>1910+500</f>
        <v>2410</v>
      </c>
      <c r="D24" s="52">
        <f t="shared" ref="D24:D29" si="14">C24*VLOOKUP(B24,$AE$1:$AF$3,2,FALSE)/1000</f>
        <v>13.255000000000001</v>
      </c>
      <c r="E24" s="162">
        <f>SUM(D24:D26)</f>
        <v>66.730999999999995</v>
      </c>
      <c r="F24" s="62">
        <v>482</v>
      </c>
      <c r="G24" s="57">
        <f>IFERROR(C24/F24,"")</f>
        <v>5</v>
      </c>
      <c r="H24" s="21">
        <v>46169</v>
      </c>
      <c r="I24" s="26">
        <f t="shared" ref="I24:I29" si="15">IF(H24="","",H24+G24)</f>
        <v>46174</v>
      </c>
      <c r="J24" s="29"/>
      <c r="K24" s="30"/>
      <c r="L24" s="31"/>
      <c r="M24" s="46" t="str">
        <f t="shared" si="3"/>
        <v/>
      </c>
      <c r="N24" s="29"/>
      <c r="O24" s="49"/>
      <c r="P24" s="31"/>
      <c r="Q24" s="33" t="str">
        <f t="shared" ref="Q24:Q26" si="16">IF(P24="","",P24+O24)</f>
        <v/>
      </c>
      <c r="R24" s="33"/>
      <c r="S24" s="33"/>
      <c r="T24" s="33"/>
      <c r="U24" s="33"/>
      <c r="V24" s="34" t="str">
        <f t="shared" si="5"/>
        <v>WARNING</v>
      </c>
    </row>
    <row r="25" spans="1:25" ht="16" thickBot="1">
      <c r="A25" s="161"/>
      <c r="B25" s="69" t="s">
        <v>3</v>
      </c>
      <c r="C25" s="53">
        <f>2340+1608</f>
        <v>3948</v>
      </c>
      <c r="D25" s="54">
        <f t="shared" si="14"/>
        <v>47.375999999999998</v>
      </c>
      <c r="E25" s="163"/>
      <c r="F25" s="63">
        <v>342</v>
      </c>
      <c r="G25" s="5">
        <f t="shared" ref="G25:G29" si="17">IFERROR(C25/F25,"")</f>
        <v>11.543859649122806</v>
      </c>
      <c r="H25" s="9">
        <v>46169</v>
      </c>
      <c r="I25" s="24">
        <f t="shared" si="15"/>
        <v>46180.543859649122</v>
      </c>
      <c r="J25" s="8">
        <v>2178</v>
      </c>
      <c r="K25" s="12">
        <v>46172</v>
      </c>
      <c r="L25" s="7">
        <f>J13/(SUM(G24:G26))</f>
        <v>49.418719211822662</v>
      </c>
      <c r="M25" s="10">
        <f t="shared" si="3"/>
        <v>46221.418719211826</v>
      </c>
      <c r="N25" s="8"/>
      <c r="O25" s="9"/>
      <c r="P25" s="7"/>
      <c r="Q25" s="9"/>
      <c r="R25" s="9"/>
      <c r="S25" s="9"/>
      <c r="T25" s="9"/>
      <c r="U25" s="9"/>
      <c r="V25" s="35" t="str">
        <f t="shared" si="5"/>
        <v>AMAN</v>
      </c>
    </row>
    <row r="26" spans="1:25" ht="16" thickBot="1">
      <c r="A26" s="161"/>
      <c r="B26" s="70" t="s">
        <v>4</v>
      </c>
      <c r="C26" s="55">
        <v>122</v>
      </c>
      <c r="D26" s="56">
        <f t="shared" si="14"/>
        <v>6.1</v>
      </c>
      <c r="E26" s="164"/>
      <c r="F26" s="64">
        <v>12</v>
      </c>
      <c r="G26" s="58">
        <f t="shared" si="17"/>
        <v>10.166666666666666</v>
      </c>
      <c r="H26" s="36">
        <v>46169</v>
      </c>
      <c r="I26" s="37">
        <f t="shared" si="15"/>
        <v>46179.166666666664</v>
      </c>
      <c r="J26" s="38"/>
      <c r="K26" s="39"/>
      <c r="L26" s="40"/>
      <c r="M26" s="47" t="str">
        <f t="shared" si="3"/>
        <v/>
      </c>
      <c r="N26" s="38"/>
      <c r="O26" s="50"/>
      <c r="P26" s="40"/>
      <c r="Q26" s="42" t="str">
        <f t="shared" si="16"/>
        <v/>
      </c>
      <c r="R26" s="42"/>
      <c r="S26" s="42"/>
      <c r="T26" s="42"/>
      <c r="U26" s="42"/>
      <c r="V26" s="43" t="str">
        <f t="shared" si="5"/>
        <v>AMAN</v>
      </c>
    </row>
    <row r="27" spans="1:25" ht="16" thickBot="1">
      <c r="A27" s="160" t="s">
        <v>25</v>
      </c>
      <c r="B27" s="68" t="s">
        <v>1</v>
      </c>
      <c r="C27" s="51">
        <v>3336</v>
      </c>
      <c r="D27" s="52">
        <f t="shared" si="14"/>
        <v>18.347999999999999</v>
      </c>
      <c r="E27" s="162">
        <f>SUM(D27:D29)</f>
        <v>74.557999999999993</v>
      </c>
      <c r="F27" s="62">
        <v>644</v>
      </c>
      <c r="G27" s="57">
        <f t="shared" si="17"/>
        <v>5.1801242236024843</v>
      </c>
      <c r="H27" s="27">
        <v>46169</v>
      </c>
      <c r="I27" s="28">
        <f t="shared" si="15"/>
        <v>46174.180124223603</v>
      </c>
      <c r="J27" s="29"/>
      <c r="K27" s="30"/>
      <c r="L27" s="31"/>
      <c r="M27" s="46" t="str">
        <f t="shared" si="3"/>
        <v/>
      </c>
      <c r="N27" s="203"/>
      <c r="O27" s="197"/>
      <c r="P27" s="200"/>
      <c r="Q27" s="197"/>
      <c r="R27" s="33"/>
      <c r="S27" s="33"/>
      <c r="T27" s="33"/>
      <c r="U27" s="33"/>
      <c r="V27" s="34" t="str">
        <f t="shared" si="5"/>
        <v>WARNING</v>
      </c>
    </row>
    <row r="28" spans="1:25" ht="16" thickBot="1">
      <c r="A28" s="161"/>
      <c r="B28" s="69" t="s">
        <v>3</v>
      </c>
      <c r="C28" s="53">
        <v>2330</v>
      </c>
      <c r="D28" s="54">
        <f t="shared" si="14"/>
        <v>27.96</v>
      </c>
      <c r="E28" s="163"/>
      <c r="F28" s="63">
        <v>490</v>
      </c>
      <c r="G28" s="5">
        <f t="shared" si="17"/>
        <v>4.7551020408163263</v>
      </c>
      <c r="H28" s="9">
        <v>46169</v>
      </c>
      <c r="I28" s="24">
        <f t="shared" si="15"/>
        <v>46173.755102040814</v>
      </c>
      <c r="J28" s="8">
        <f>1700+1600+15</f>
        <v>3315</v>
      </c>
      <c r="K28" s="12">
        <v>46177</v>
      </c>
      <c r="L28" s="7">
        <f>J16/(SUM(G27:G29))</f>
        <v>31.410072663911649</v>
      </c>
      <c r="M28" s="10">
        <f t="shared" si="3"/>
        <v>46208.410072663908</v>
      </c>
      <c r="N28" s="204"/>
      <c r="O28" s="198"/>
      <c r="P28" s="201"/>
      <c r="Q28" s="198"/>
      <c r="R28" s="9"/>
      <c r="S28" s="9"/>
      <c r="T28" s="9"/>
      <c r="U28" s="9"/>
      <c r="V28" s="35" t="str">
        <f t="shared" si="5"/>
        <v>WARNING</v>
      </c>
      <c r="Y28" s="20"/>
    </row>
    <row r="29" spans="1:25" ht="16" thickBot="1">
      <c r="A29" s="161"/>
      <c r="B29" s="70" t="s">
        <v>4</v>
      </c>
      <c r="C29" s="55">
        <v>565</v>
      </c>
      <c r="D29" s="56">
        <f t="shared" si="14"/>
        <v>28.25</v>
      </c>
      <c r="E29" s="164"/>
      <c r="F29" s="64">
        <v>50</v>
      </c>
      <c r="G29" s="58">
        <f t="shared" si="17"/>
        <v>11.3</v>
      </c>
      <c r="H29" s="36">
        <v>46169</v>
      </c>
      <c r="I29" s="37">
        <f t="shared" si="15"/>
        <v>46180.3</v>
      </c>
      <c r="J29" s="38"/>
      <c r="K29" s="39"/>
      <c r="L29" s="40"/>
      <c r="M29" s="47" t="str">
        <f t="shared" si="3"/>
        <v/>
      </c>
      <c r="N29" s="205"/>
      <c r="O29" s="199"/>
      <c r="P29" s="202"/>
      <c r="Q29" s="199"/>
      <c r="R29" s="42"/>
      <c r="S29" s="42"/>
      <c r="T29" s="42"/>
      <c r="U29" s="42"/>
      <c r="V29" s="43" t="str">
        <f t="shared" si="5"/>
        <v>AMAN</v>
      </c>
    </row>
    <row r="31" spans="1:25" ht="18.5">
      <c r="A31" s="71" t="s">
        <v>17</v>
      </c>
      <c r="B31" s="71"/>
      <c r="C31" s="72">
        <f>SUM(C9:C29)</f>
        <v>37639</v>
      </c>
      <c r="D31" s="72">
        <f t="shared" ref="D31:G31" si="18">SUM(D9:D29)</f>
        <v>458.45850000000002</v>
      </c>
      <c r="E31" s="72">
        <f t="shared" si="18"/>
        <v>458.45850000000002</v>
      </c>
      <c r="F31" s="72">
        <f t="shared" si="18"/>
        <v>4507</v>
      </c>
      <c r="G31" s="72">
        <f t="shared" si="18"/>
        <v>242.16561803570704</v>
      </c>
      <c r="H31" s="73">
        <v>46169</v>
      </c>
      <c r="I31" s="74"/>
      <c r="J31" s="6"/>
      <c r="K31" s="6"/>
      <c r="L31" s="13"/>
      <c r="M31" s="6"/>
      <c r="N31" s="6"/>
      <c r="O31" s="6"/>
      <c r="P31" s="6"/>
      <c r="Q31" s="6"/>
      <c r="R31" s="6"/>
      <c r="S31" s="6"/>
      <c r="T31" s="6"/>
      <c r="U31" s="6"/>
      <c r="V31" s="6"/>
      <c r="W31" s="20"/>
      <c r="X31" s="20"/>
    </row>
  </sheetData>
  <mergeCells count="43">
    <mergeCell ref="Q2:U2"/>
    <mergeCell ref="Q3:U4"/>
    <mergeCell ref="R9:R11"/>
    <mergeCell ref="S9:S11"/>
    <mergeCell ref="T9:T11"/>
    <mergeCell ref="U9:U11"/>
    <mergeCell ref="O27:O29"/>
    <mergeCell ref="P27:P29"/>
    <mergeCell ref="Q27:Q29"/>
    <mergeCell ref="A27:A29"/>
    <mergeCell ref="E27:E29"/>
    <mergeCell ref="N27:N29"/>
    <mergeCell ref="A24:A26"/>
    <mergeCell ref="E24:E26"/>
    <mergeCell ref="A21:A23"/>
    <mergeCell ref="E21:E23"/>
    <mergeCell ref="A18:A20"/>
    <mergeCell ref="E18:E20"/>
    <mergeCell ref="A15:A17"/>
    <mergeCell ref="E15:E17"/>
    <mergeCell ref="D6:D7"/>
    <mergeCell ref="E3:J4"/>
    <mergeCell ref="V6:V7"/>
    <mergeCell ref="A6:A7"/>
    <mergeCell ref="R6:U6"/>
    <mergeCell ref="F6:F7"/>
    <mergeCell ref="H6:H7"/>
    <mergeCell ref="L3:O4"/>
    <mergeCell ref="N6:Q6"/>
    <mergeCell ref="E6:E7"/>
    <mergeCell ref="J6:M6"/>
    <mergeCell ref="G6:G7"/>
    <mergeCell ref="I6:I7"/>
    <mergeCell ref="L2:O2"/>
    <mergeCell ref="E2:J2"/>
    <mergeCell ref="A2:C2"/>
    <mergeCell ref="A12:A14"/>
    <mergeCell ref="E12:E14"/>
    <mergeCell ref="E9:E11"/>
    <mergeCell ref="A3:C4"/>
    <mergeCell ref="B6:B7"/>
    <mergeCell ref="C6:C7"/>
    <mergeCell ref="A9:A11"/>
  </mergeCells>
  <conditionalFormatting sqref="I9:I29">
    <cfRule type="expression" dxfId="16" priority="1">
      <formula>AND($I9&lt;&gt;"",$I9&gt;TODAY()+7)</formula>
    </cfRule>
    <cfRule type="expression" dxfId="15" priority="2">
      <formula>AND($I9&lt;&gt;"",$I9&gt;TODAY()+3,$I9&lt;=TODAY()+7)</formula>
    </cfRule>
    <cfRule type="expression" dxfId="14" priority="3">
      <formula>AND($I9&lt;&gt;"",$I9&lt;=TODAY()+3)</formula>
    </cfRule>
  </conditionalFormatting>
  <conditionalFormatting sqref="V9:V29">
    <cfRule type="expression" dxfId="13" priority="5">
      <formula>V9="CRITICAL"</formula>
    </cfRule>
    <cfRule type="expression" dxfId="12" priority="6">
      <formula>V9="WARNING"</formula>
    </cfRule>
    <cfRule type="expression" dxfId="11" priority="7">
      <formula>V9="AMAN"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BB66-4D74-4A4F-9A54-A81F6525630D}">
  <dimension ref="A1:X31"/>
  <sheetViews>
    <sheetView tabSelected="1" zoomScale="49" zoomScaleNormal="55" workbookViewId="0">
      <selection activeCell="K32" sqref="K32"/>
    </sheetView>
  </sheetViews>
  <sheetFormatPr defaultColWidth="23" defaultRowHeight="14.5"/>
  <cols>
    <col min="4" max="4" width="11.54296875" hidden="1" customWidth="1"/>
    <col min="5" max="5" width="11.6328125" bestFit="1" customWidth="1"/>
    <col min="7" max="7" width="12.36328125" customWidth="1"/>
    <col min="8" max="8" width="21.90625" customWidth="1"/>
    <col min="9" max="9" width="19.1796875" bestFit="1" customWidth="1"/>
    <col min="10" max="10" width="19.7265625" customWidth="1"/>
    <col min="11" max="11" width="15.453125" customWidth="1"/>
    <col min="12" max="12" width="14.1796875" customWidth="1"/>
    <col min="13" max="13" width="21" customWidth="1"/>
    <col min="14" max="14" width="19.7265625" hidden="1" customWidth="1"/>
    <col min="15" max="15" width="12" hidden="1" customWidth="1"/>
    <col min="16" max="16" width="12.1796875" hidden="1" customWidth="1"/>
    <col min="17" max="17" width="21.54296875" hidden="1" customWidth="1"/>
    <col min="18" max="18" width="19.7265625" hidden="1" customWidth="1"/>
    <col min="19" max="19" width="12" hidden="1" customWidth="1"/>
    <col min="20" max="20" width="11.90625" hidden="1" customWidth="1"/>
    <col min="21" max="21" width="19.54296875" hidden="1" customWidth="1"/>
    <col min="22" max="23" width="19.54296875" customWidth="1"/>
  </cols>
  <sheetData>
    <row r="1" spans="1:24" ht="15.5">
      <c r="A1" s="158" t="s">
        <v>42</v>
      </c>
      <c r="B1" s="158" t="s">
        <v>0</v>
      </c>
      <c r="C1" s="158" t="s">
        <v>37</v>
      </c>
      <c r="D1" s="158" t="s">
        <v>6</v>
      </c>
      <c r="E1" s="158" t="s">
        <v>7</v>
      </c>
      <c r="F1" s="165" t="s">
        <v>8</v>
      </c>
      <c r="G1" s="165" t="s">
        <v>9</v>
      </c>
      <c r="H1" s="165" t="s">
        <v>10</v>
      </c>
      <c r="I1" s="165" t="s">
        <v>11</v>
      </c>
      <c r="J1" s="167" t="s">
        <v>18</v>
      </c>
      <c r="K1" s="210"/>
      <c r="L1" s="210"/>
      <c r="M1" s="210"/>
      <c r="N1" s="195" t="s">
        <v>29</v>
      </c>
      <c r="O1" s="211"/>
      <c r="P1" s="211"/>
      <c r="Q1" s="211"/>
      <c r="R1" s="192" t="s">
        <v>30</v>
      </c>
      <c r="S1" s="212"/>
      <c r="T1" s="212"/>
      <c r="U1" s="212"/>
      <c r="V1" s="214" t="s">
        <v>40</v>
      </c>
      <c r="W1" s="216" t="s">
        <v>41</v>
      </c>
      <c r="X1" s="158" t="s">
        <v>12</v>
      </c>
    </row>
    <row r="2" spans="1:24" ht="30.5" customHeight="1" thickBot="1">
      <c r="A2" s="210"/>
      <c r="B2" s="210"/>
      <c r="C2" s="213"/>
      <c r="D2" s="210"/>
      <c r="E2" s="210"/>
      <c r="F2" s="210"/>
      <c r="G2" s="210"/>
      <c r="H2" s="210"/>
      <c r="I2" s="210"/>
      <c r="J2" s="14" t="s">
        <v>32</v>
      </c>
      <c r="K2" s="14" t="s">
        <v>13</v>
      </c>
      <c r="L2" s="14" t="s">
        <v>14</v>
      </c>
      <c r="M2" s="14" t="s">
        <v>31</v>
      </c>
      <c r="N2" s="16" t="s">
        <v>32</v>
      </c>
      <c r="O2" s="16" t="s">
        <v>15</v>
      </c>
      <c r="P2" s="16" t="s">
        <v>16</v>
      </c>
      <c r="Q2" s="16" t="s">
        <v>33</v>
      </c>
      <c r="R2" s="18" t="s">
        <v>32</v>
      </c>
      <c r="S2" s="18" t="s">
        <v>34</v>
      </c>
      <c r="T2" s="18" t="s">
        <v>35</v>
      </c>
      <c r="U2" s="18" t="s">
        <v>36</v>
      </c>
      <c r="V2" s="215"/>
      <c r="W2" s="217"/>
      <c r="X2" s="210"/>
    </row>
    <row r="3" spans="1:24" ht="16" thickBot="1">
      <c r="A3" s="168" t="s">
        <v>20</v>
      </c>
      <c r="B3" s="68" t="s">
        <v>1</v>
      </c>
      <c r="C3" s="51">
        <v>875</v>
      </c>
      <c r="D3" s="52">
        <f>(C3*5.5)/1000</f>
        <v>4.8125</v>
      </c>
      <c r="E3" s="162">
        <f>SUM(D3:D5)</f>
        <v>37.3005</v>
      </c>
      <c r="F3" s="62">
        <v>36</v>
      </c>
      <c r="G3" s="87">
        <f t="shared" ref="G3:G4" si="0">IFERROR(C3/F3,"")</f>
        <v>24.305555555555557</v>
      </c>
      <c r="H3" s="21">
        <v>46219</v>
      </c>
      <c r="I3" s="136">
        <f t="shared" ref="I3:I23" si="1">IF(H3="","",H3+G3)</f>
        <v>46243.305555555555</v>
      </c>
      <c r="J3" s="114"/>
      <c r="K3" s="115"/>
      <c r="L3" s="116"/>
      <c r="M3" s="114"/>
      <c r="N3" s="115"/>
      <c r="O3" s="119"/>
      <c r="P3" s="114"/>
      <c r="Q3" s="115"/>
      <c r="R3" s="114"/>
      <c r="S3" s="126"/>
      <c r="T3" s="113" t="str">
        <f t="shared" ref="T3:T5" si="2">IF(OR(R3="",S3=""),"",IFERROR((MAX(0,IF(P3="",IF(L3="",G3,L3),P3)*F3-F3*(S3-IF(O3="",IF(K3="",H3,K3),O3)))+R3)/F3,""))</f>
        <v/>
      </c>
      <c r="U3" s="129" t="str">
        <f t="shared" ref="U3:U5" si="3">IF(OR(S3="",T3=""),"",S3+T3)</f>
        <v/>
      </c>
      <c r="V3" s="134">
        <f t="shared" ref="V3:V23" si="4">IF(T3&lt;&gt;"",T3,IF(P3&lt;&gt;"",P3,IF(L3&lt;&gt;"",L3,G3)))</f>
        <v>24.305555555555557</v>
      </c>
      <c r="W3" s="135">
        <f t="shared" ref="W3:W23" si="5">IF(U3&lt;&gt;"",U3,IF(Q3&lt;&gt;"",Q3,IF(M3&lt;&gt;"",M3,I3)))</f>
        <v>46243.305555555555</v>
      </c>
      <c r="X3" s="131" t="str">
        <f>IF(G3&lt;3,"KRITIS",IF(G3&lt;4,"WARNING","AMAN"))</f>
        <v>AMAN</v>
      </c>
    </row>
    <row r="4" spans="1:24" ht="16" thickBot="1">
      <c r="A4" s="169"/>
      <c r="B4" s="69" t="s">
        <v>3</v>
      </c>
      <c r="C4" s="53">
        <v>2024</v>
      </c>
      <c r="D4" s="52">
        <f>(C4*12)/1000</f>
        <v>24.288</v>
      </c>
      <c r="E4" s="163"/>
      <c r="F4" s="63">
        <v>158</v>
      </c>
      <c r="G4" s="88">
        <f t="shared" si="0"/>
        <v>12.810126582278482</v>
      </c>
      <c r="H4" s="9">
        <v>46219</v>
      </c>
      <c r="I4" s="137">
        <f t="shared" si="1"/>
        <v>46231.810126582277</v>
      </c>
      <c r="J4" s="111"/>
      <c r="K4" s="115"/>
      <c r="L4" s="116"/>
      <c r="M4" s="111"/>
      <c r="N4" s="115"/>
      <c r="O4" s="116"/>
      <c r="P4" s="111"/>
      <c r="Q4" s="115"/>
      <c r="R4" s="110"/>
      <c r="S4" s="127"/>
      <c r="T4" s="113" t="str">
        <f t="shared" si="2"/>
        <v/>
      </c>
      <c r="U4" s="129" t="str">
        <f t="shared" si="3"/>
        <v/>
      </c>
      <c r="V4" s="134">
        <f t="shared" si="4"/>
        <v>12.810126582278482</v>
      </c>
      <c r="W4" s="135">
        <f t="shared" si="5"/>
        <v>46231.810126582277</v>
      </c>
      <c r="X4" s="131" t="str">
        <f t="shared" ref="X4:X23" si="6">IF(G4&lt;3,"KRITIS",IF(G4&lt;4,"WARNING","AMAN"))</f>
        <v>AMAN</v>
      </c>
    </row>
    <row r="5" spans="1:24" ht="16" thickBot="1">
      <c r="A5" s="170"/>
      <c r="B5" s="70" t="s">
        <v>4</v>
      </c>
      <c r="C5" s="55">
        <v>164</v>
      </c>
      <c r="D5" s="52">
        <f>(C5*50)/1000</f>
        <v>8.1999999999999993</v>
      </c>
      <c r="E5" s="164"/>
      <c r="F5" s="64">
        <v>6</v>
      </c>
      <c r="G5" s="89">
        <f>IFERROR(C5/F5,"")</f>
        <v>27.333333333333332</v>
      </c>
      <c r="H5" s="36">
        <v>46219</v>
      </c>
      <c r="I5" s="138">
        <f t="shared" si="1"/>
        <v>46246.333333333336</v>
      </c>
      <c r="J5" s="112"/>
      <c r="K5" s="117"/>
      <c r="L5" s="118"/>
      <c r="M5" s="112"/>
      <c r="N5" s="117"/>
      <c r="O5" s="116"/>
      <c r="P5" s="112"/>
      <c r="Q5" s="117"/>
      <c r="R5" s="112"/>
      <c r="S5" s="128"/>
      <c r="T5" s="113" t="str">
        <f t="shared" si="2"/>
        <v/>
      </c>
      <c r="U5" s="129" t="str">
        <f t="shared" si="3"/>
        <v/>
      </c>
      <c r="V5" s="134">
        <f t="shared" si="4"/>
        <v>27.333333333333332</v>
      </c>
      <c r="W5" s="135">
        <f t="shared" si="5"/>
        <v>46246.333333333336</v>
      </c>
      <c r="X5" s="131" t="str">
        <f t="shared" si="6"/>
        <v>AMAN</v>
      </c>
    </row>
    <row r="6" spans="1:24" ht="16" thickBot="1">
      <c r="A6" s="160" t="s">
        <v>21</v>
      </c>
      <c r="B6" s="68" t="s">
        <v>1</v>
      </c>
      <c r="C6" s="51">
        <v>1803</v>
      </c>
      <c r="D6" s="52">
        <f>(C6*5.5)/1000</f>
        <v>9.9164999999999992</v>
      </c>
      <c r="E6" s="162">
        <f>SUM(D6:D8)</f>
        <v>56.688500000000005</v>
      </c>
      <c r="F6" s="62">
        <v>123</v>
      </c>
      <c r="G6" s="87">
        <f>IFERROR(C6/F6,"")</f>
        <v>14.658536585365853</v>
      </c>
      <c r="H6" s="21">
        <v>46219</v>
      </c>
      <c r="I6" s="139">
        <f t="shared" si="1"/>
        <v>46233.658536585368</v>
      </c>
      <c r="J6" s="114"/>
      <c r="K6" s="115"/>
      <c r="L6" s="116"/>
      <c r="M6" s="114"/>
      <c r="N6" s="115"/>
      <c r="O6" s="119"/>
      <c r="P6" s="114"/>
      <c r="Q6" s="115"/>
      <c r="R6" s="29"/>
      <c r="S6" s="30"/>
      <c r="T6" s="113" t="str">
        <f t="shared" ref="T6:T23" si="7">IF(OR(R6="",S6=""),"",IFERROR((MAX(0,IF(P6="",IF(L6="",G6,L6),P6)*F6-F6*(S6-IF(O6="",IF(K6="",H6,K6),O6)))+R6)/F6,""))</f>
        <v/>
      </c>
      <c r="U6" s="129" t="str">
        <f t="shared" ref="U6:U23" si="8">IF(OR(S6="",T6=""),"",S6+T6)</f>
        <v/>
      </c>
      <c r="V6" s="134">
        <f t="shared" si="4"/>
        <v>14.658536585365853</v>
      </c>
      <c r="W6" s="135">
        <f t="shared" si="5"/>
        <v>46233.658536585368</v>
      </c>
      <c r="X6" s="131" t="str">
        <f t="shared" si="6"/>
        <v>AMAN</v>
      </c>
    </row>
    <row r="7" spans="1:24" ht="16" thickBot="1">
      <c r="A7" s="161"/>
      <c r="B7" s="69" t="s">
        <v>3</v>
      </c>
      <c r="C7" s="53">
        <v>2631</v>
      </c>
      <c r="D7" s="52">
        <f>(C7*12)/1000</f>
        <v>31.571999999999999</v>
      </c>
      <c r="E7" s="163"/>
      <c r="F7" s="63">
        <v>265</v>
      </c>
      <c r="G7" s="88">
        <f>IFERROR(C7/F7,"")</f>
        <v>9.9283018867924522</v>
      </c>
      <c r="H7" s="9">
        <v>46219</v>
      </c>
      <c r="I7" s="137">
        <f t="shared" si="1"/>
        <v>46228.928301886794</v>
      </c>
      <c r="J7" s="111"/>
      <c r="K7" s="115"/>
      <c r="L7" s="116"/>
      <c r="M7" s="111"/>
      <c r="N7" s="115"/>
      <c r="O7" s="116"/>
      <c r="P7" s="111"/>
      <c r="Q7" s="115"/>
      <c r="R7" s="8"/>
      <c r="S7" s="12"/>
      <c r="T7" s="113" t="str">
        <f t="shared" si="7"/>
        <v/>
      </c>
      <c r="U7" s="129" t="str">
        <f t="shared" si="8"/>
        <v/>
      </c>
      <c r="V7" s="134">
        <f t="shared" si="4"/>
        <v>9.9283018867924522</v>
      </c>
      <c r="W7" s="135">
        <f t="shared" si="5"/>
        <v>46228.928301886794</v>
      </c>
      <c r="X7" s="131" t="str">
        <f t="shared" si="6"/>
        <v>AMAN</v>
      </c>
    </row>
    <row r="8" spans="1:24" ht="16" thickBot="1">
      <c r="A8" s="161"/>
      <c r="B8" s="70" t="s">
        <v>4</v>
      </c>
      <c r="C8" s="55">
        <v>304</v>
      </c>
      <c r="D8" s="52">
        <f>(C8*50)/1000</f>
        <v>15.2</v>
      </c>
      <c r="E8" s="164"/>
      <c r="F8" s="64">
        <v>18</v>
      </c>
      <c r="G8" s="89">
        <f>IFERROR(C8/F8,"")</f>
        <v>16.888888888888889</v>
      </c>
      <c r="H8" s="36">
        <v>46219</v>
      </c>
      <c r="I8" s="138">
        <f t="shared" si="1"/>
        <v>46235.888888888891</v>
      </c>
      <c r="J8" s="112"/>
      <c r="K8" s="117"/>
      <c r="L8" s="118"/>
      <c r="M8" s="112"/>
      <c r="N8" s="115"/>
      <c r="O8" s="118"/>
      <c r="P8" s="112"/>
      <c r="Q8" s="115"/>
      <c r="R8" s="38"/>
      <c r="S8" s="39"/>
      <c r="T8" s="113" t="str">
        <f t="shared" si="7"/>
        <v/>
      </c>
      <c r="U8" s="129" t="str">
        <f t="shared" si="8"/>
        <v/>
      </c>
      <c r="V8" s="134">
        <f t="shared" si="4"/>
        <v>16.888888888888889</v>
      </c>
      <c r="W8" s="135">
        <f t="shared" si="5"/>
        <v>46235.888888888891</v>
      </c>
      <c r="X8" s="131" t="str">
        <f t="shared" si="6"/>
        <v>AMAN</v>
      </c>
    </row>
    <row r="9" spans="1:24" ht="16" thickBot="1">
      <c r="A9" s="160" t="s">
        <v>19</v>
      </c>
      <c r="B9" s="68" t="s">
        <v>1</v>
      </c>
      <c r="C9" s="51">
        <v>4468</v>
      </c>
      <c r="D9" s="52">
        <f>(C9*5.5)/1000</f>
        <v>24.574000000000002</v>
      </c>
      <c r="E9" s="162">
        <f>SUM(D9:D11)</f>
        <v>143.75200000000001</v>
      </c>
      <c r="F9" s="62">
        <v>325</v>
      </c>
      <c r="G9" s="87">
        <f>IFERROR(C9/F9,"")</f>
        <v>13.747692307692308</v>
      </c>
      <c r="H9" s="21">
        <v>46219</v>
      </c>
      <c r="I9" s="136">
        <f t="shared" si="1"/>
        <v>46232.74769230769</v>
      </c>
      <c r="J9" s="114"/>
      <c r="K9" s="114"/>
      <c r="L9" s="114"/>
      <c r="M9" s="114"/>
      <c r="N9" s="114"/>
      <c r="O9" s="115"/>
      <c r="P9" s="116"/>
      <c r="Q9" s="114"/>
      <c r="R9" s="115"/>
      <c r="S9" s="116"/>
      <c r="T9" s="113" t="str">
        <f t="shared" si="7"/>
        <v/>
      </c>
      <c r="U9" s="129" t="str">
        <f t="shared" si="8"/>
        <v/>
      </c>
      <c r="V9" s="134">
        <f t="shared" si="4"/>
        <v>13.747692307692308</v>
      </c>
      <c r="W9" s="135">
        <f t="shared" si="5"/>
        <v>46232.74769230769</v>
      </c>
      <c r="X9" s="131" t="str">
        <f t="shared" si="6"/>
        <v>AMAN</v>
      </c>
    </row>
    <row r="10" spans="1:24" ht="16" thickBot="1">
      <c r="A10" s="161"/>
      <c r="B10" s="69" t="s">
        <v>3</v>
      </c>
      <c r="C10" s="53">
        <v>6319</v>
      </c>
      <c r="D10" s="52">
        <f>(C10*12)/1000</f>
        <v>75.828000000000003</v>
      </c>
      <c r="E10" s="163"/>
      <c r="F10" s="63">
        <v>450</v>
      </c>
      <c r="G10" s="88">
        <f t="shared" ref="G10:G17" si="9">IFERROR(C10/F10,"")</f>
        <v>14.042222222222222</v>
      </c>
      <c r="H10" s="9">
        <v>46219</v>
      </c>
      <c r="I10" s="137">
        <f t="shared" si="1"/>
        <v>46233.042222222219</v>
      </c>
      <c r="J10" s="111"/>
      <c r="K10" s="111"/>
      <c r="L10" s="111"/>
      <c r="M10" s="111"/>
      <c r="N10" s="111"/>
      <c r="O10" s="115"/>
      <c r="P10" s="116"/>
      <c r="Q10" s="111"/>
      <c r="R10" s="115"/>
      <c r="S10" s="116"/>
      <c r="T10" s="113" t="str">
        <f t="shared" si="7"/>
        <v/>
      </c>
      <c r="U10" s="129" t="str">
        <f t="shared" si="8"/>
        <v/>
      </c>
      <c r="V10" s="134">
        <f t="shared" si="4"/>
        <v>14.042222222222222</v>
      </c>
      <c r="W10" s="135">
        <f t="shared" si="5"/>
        <v>46233.042222222219</v>
      </c>
      <c r="X10" s="131" t="str">
        <f t="shared" si="6"/>
        <v>AMAN</v>
      </c>
    </row>
    <row r="11" spans="1:24" ht="16" thickBot="1">
      <c r="A11" s="161"/>
      <c r="B11" s="70" t="s">
        <v>4</v>
      </c>
      <c r="C11" s="55">
        <v>867</v>
      </c>
      <c r="D11" s="52">
        <f>(C11*50)/1000</f>
        <v>43.35</v>
      </c>
      <c r="E11" s="164"/>
      <c r="F11" s="64">
        <v>50</v>
      </c>
      <c r="G11" s="89">
        <f t="shared" si="9"/>
        <v>17.34</v>
      </c>
      <c r="H11" s="36">
        <v>46219</v>
      </c>
      <c r="I11" s="138">
        <f t="shared" si="1"/>
        <v>46236.34</v>
      </c>
      <c r="J11" s="112"/>
      <c r="K11" s="112"/>
      <c r="L11" s="112"/>
      <c r="M11" s="112"/>
      <c r="N11" s="112"/>
      <c r="O11" s="117"/>
      <c r="P11" s="118"/>
      <c r="Q11" s="112"/>
      <c r="R11" s="115"/>
      <c r="S11" s="116"/>
      <c r="T11" s="113" t="str">
        <f t="shared" si="7"/>
        <v/>
      </c>
      <c r="U11" s="129" t="str">
        <f t="shared" si="8"/>
        <v/>
      </c>
      <c r="V11" s="134">
        <f t="shared" si="4"/>
        <v>17.34</v>
      </c>
      <c r="W11" s="135">
        <f t="shared" si="5"/>
        <v>46236.34</v>
      </c>
      <c r="X11" s="131" t="str">
        <f t="shared" si="6"/>
        <v>AMAN</v>
      </c>
    </row>
    <row r="12" spans="1:24" ht="16" thickBot="1">
      <c r="A12" s="160" t="s">
        <v>22</v>
      </c>
      <c r="B12" s="68" t="s">
        <v>1</v>
      </c>
      <c r="C12" s="51">
        <v>3205</v>
      </c>
      <c r="D12" s="52">
        <f>(C12*5.5)/1000</f>
        <v>17.627500000000001</v>
      </c>
      <c r="E12" s="162">
        <f>SUM(D12:D14)</f>
        <v>97.279499999999999</v>
      </c>
      <c r="F12" s="62">
        <v>275</v>
      </c>
      <c r="G12" s="87">
        <f>IFERROR(C12/F12,"")</f>
        <v>11.654545454545454</v>
      </c>
      <c r="H12" s="21">
        <v>46219</v>
      </c>
      <c r="I12" s="136">
        <f t="shared" si="1"/>
        <v>46230.654545454548</v>
      </c>
      <c r="J12" s="96">
        <v>1317</v>
      </c>
      <c r="K12" s="91">
        <v>46213</v>
      </c>
      <c r="L12" s="97">
        <f>IF(OR(J12="",K12="",F12=0),"",(MAX(0,C12-(F12*(K12-H12)))+J12)/F12)</f>
        <v>22.443636363636365</v>
      </c>
      <c r="M12" s="147">
        <f>IF(L12="","",L12+K12)</f>
        <v>46235.443636363634</v>
      </c>
      <c r="N12" s="114"/>
      <c r="O12" s="115"/>
      <c r="P12" s="116"/>
      <c r="Q12" s="46"/>
      <c r="R12" s="29"/>
      <c r="S12" s="30"/>
      <c r="T12" s="113" t="str">
        <f t="shared" si="7"/>
        <v/>
      </c>
      <c r="U12" s="129" t="str">
        <f t="shared" si="8"/>
        <v/>
      </c>
      <c r="V12" s="134">
        <f t="shared" si="4"/>
        <v>22.443636363636365</v>
      </c>
      <c r="W12" s="135">
        <f t="shared" si="5"/>
        <v>46235.443636363634</v>
      </c>
      <c r="X12" s="131" t="str">
        <f t="shared" si="6"/>
        <v>AMAN</v>
      </c>
    </row>
    <row r="13" spans="1:24" ht="16" thickBot="1">
      <c r="A13" s="161"/>
      <c r="B13" s="69" t="s">
        <v>3</v>
      </c>
      <c r="C13" s="53">
        <v>5471</v>
      </c>
      <c r="D13" s="52">
        <f>(C13*12)/1000</f>
        <v>65.652000000000001</v>
      </c>
      <c r="E13" s="163"/>
      <c r="F13" s="63">
        <v>355</v>
      </c>
      <c r="G13" s="88">
        <f t="shared" si="9"/>
        <v>15.411267605633803</v>
      </c>
      <c r="H13" s="9">
        <v>46219</v>
      </c>
      <c r="I13" s="137">
        <f t="shared" si="1"/>
        <v>46234.411267605632</v>
      </c>
      <c r="J13" s="86">
        <v>6815</v>
      </c>
      <c r="K13" s="76">
        <v>46213</v>
      </c>
      <c r="L13" s="85">
        <f t="shared" ref="L13:L14" si="10">IF(OR(J13="",K13="",F13=0),"",(MAX(0,C13-(F13*(K13-H13)))+J13)/F13)</f>
        <v>40.608450704225355</v>
      </c>
      <c r="M13" s="145">
        <f>IF(L13="","",L13+K13)</f>
        <v>46253.608450704225</v>
      </c>
      <c r="N13" s="111"/>
      <c r="O13" s="115"/>
      <c r="P13" s="116"/>
      <c r="Q13" s="10"/>
      <c r="R13" s="8"/>
      <c r="S13" s="12"/>
      <c r="T13" s="113" t="str">
        <f t="shared" si="7"/>
        <v/>
      </c>
      <c r="U13" s="129" t="str">
        <f t="shared" si="8"/>
        <v/>
      </c>
      <c r="V13" s="134">
        <f t="shared" si="4"/>
        <v>40.608450704225355</v>
      </c>
      <c r="W13" s="135">
        <f t="shared" si="5"/>
        <v>46253.608450704225</v>
      </c>
      <c r="X13" s="131" t="str">
        <f t="shared" si="6"/>
        <v>AMAN</v>
      </c>
    </row>
    <row r="14" spans="1:24" ht="16" thickBot="1">
      <c r="A14" s="161"/>
      <c r="B14" s="70" t="s">
        <v>4</v>
      </c>
      <c r="C14" s="55">
        <v>280</v>
      </c>
      <c r="D14" s="52">
        <f>(C14*50)/1000</f>
        <v>14</v>
      </c>
      <c r="E14" s="164"/>
      <c r="F14" s="64">
        <v>24</v>
      </c>
      <c r="G14" s="89">
        <f t="shared" si="9"/>
        <v>11.666666666666666</v>
      </c>
      <c r="H14" s="36">
        <v>46219</v>
      </c>
      <c r="I14" s="140">
        <f t="shared" si="1"/>
        <v>46230.666666666664</v>
      </c>
      <c r="J14" s="93">
        <v>356</v>
      </c>
      <c r="K14" s="92">
        <v>46213</v>
      </c>
      <c r="L14" s="94">
        <f t="shared" si="10"/>
        <v>32.5</v>
      </c>
      <c r="M14" s="146">
        <f t="shared" ref="M13:M14" si="11">IF(L14="","",L14+K14)</f>
        <v>46245.5</v>
      </c>
      <c r="N14" s="112"/>
      <c r="O14" s="115"/>
      <c r="P14" s="116"/>
      <c r="Q14" s="47"/>
      <c r="R14" s="38"/>
      <c r="S14" s="39"/>
      <c r="T14" s="113" t="str">
        <f t="shared" si="7"/>
        <v/>
      </c>
      <c r="U14" s="129" t="str">
        <f t="shared" si="8"/>
        <v/>
      </c>
      <c r="V14" s="134">
        <f t="shared" si="4"/>
        <v>32.5</v>
      </c>
      <c r="W14" s="135">
        <f t="shared" si="5"/>
        <v>46245.5</v>
      </c>
      <c r="X14" s="131" t="str">
        <f t="shared" si="6"/>
        <v>AMAN</v>
      </c>
    </row>
    <row r="15" spans="1:24" ht="16" thickBot="1">
      <c r="A15" s="160" t="s">
        <v>23</v>
      </c>
      <c r="B15" s="68" t="s">
        <v>1</v>
      </c>
      <c r="C15" s="51">
        <v>1841</v>
      </c>
      <c r="D15" s="52">
        <f>(C15*5.5)/1000</f>
        <v>10.125500000000001</v>
      </c>
      <c r="E15" s="162">
        <f>SUM(D15:D17)</f>
        <v>92.173500000000004</v>
      </c>
      <c r="F15" s="62">
        <v>200</v>
      </c>
      <c r="G15" s="87">
        <f t="shared" si="9"/>
        <v>9.2050000000000001</v>
      </c>
      <c r="H15" s="21">
        <v>46219</v>
      </c>
      <c r="I15" s="141">
        <f t="shared" si="1"/>
        <v>46228.205000000002</v>
      </c>
      <c r="J15" s="114"/>
      <c r="K15" s="115"/>
      <c r="L15" s="116"/>
      <c r="M15" s="114"/>
      <c r="N15" s="115"/>
      <c r="O15" s="119"/>
      <c r="P15" s="114"/>
      <c r="Q15" s="115"/>
      <c r="R15" s="116"/>
      <c r="S15" s="12"/>
      <c r="T15" s="113" t="str">
        <f t="shared" si="7"/>
        <v/>
      </c>
      <c r="U15" s="129" t="str">
        <f t="shared" si="8"/>
        <v/>
      </c>
      <c r="V15" s="134">
        <f t="shared" si="4"/>
        <v>9.2050000000000001</v>
      </c>
      <c r="W15" s="135">
        <f t="shared" si="5"/>
        <v>46228.205000000002</v>
      </c>
      <c r="X15" s="131" t="str">
        <f t="shared" si="6"/>
        <v>AMAN</v>
      </c>
    </row>
    <row r="16" spans="1:24" ht="16" thickBot="1">
      <c r="A16" s="161"/>
      <c r="B16" s="69" t="s">
        <v>3</v>
      </c>
      <c r="C16" s="53">
        <v>5654</v>
      </c>
      <c r="D16" s="52">
        <f>(C16*12)/1000</f>
        <v>67.847999999999999</v>
      </c>
      <c r="E16" s="163"/>
      <c r="F16" s="63">
        <v>434</v>
      </c>
      <c r="G16" s="88">
        <f t="shared" si="9"/>
        <v>13.027649769585253</v>
      </c>
      <c r="H16" s="9">
        <v>46219</v>
      </c>
      <c r="I16" s="142">
        <f t="shared" si="1"/>
        <v>46232.027649769589</v>
      </c>
      <c r="J16" s="111"/>
      <c r="K16" s="115"/>
      <c r="L16" s="116"/>
      <c r="M16" s="111"/>
      <c r="N16" s="115"/>
      <c r="O16" s="116"/>
      <c r="P16" s="111"/>
      <c r="Q16" s="115"/>
      <c r="R16" s="116"/>
      <c r="S16" s="12"/>
      <c r="T16" s="113" t="str">
        <f t="shared" si="7"/>
        <v/>
      </c>
      <c r="U16" s="129" t="str">
        <f t="shared" si="8"/>
        <v/>
      </c>
      <c r="V16" s="134">
        <f t="shared" si="4"/>
        <v>13.027649769585253</v>
      </c>
      <c r="W16" s="135">
        <f t="shared" si="5"/>
        <v>46232.027649769589</v>
      </c>
      <c r="X16" s="131" t="str">
        <f t="shared" si="6"/>
        <v>AMAN</v>
      </c>
    </row>
    <row r="17" spans="1:24" ht="16" thickBot="1">
      <c r="A17" s="161"/>
      <c r="B17" s="70" t="s">
        <v>4</v>
      </c>
      <c r="C17" s="55">
        <v>284</v>
      </c>
      <c r="D17" s="52">
        <f>(C17*50)/1000</f>
        <v>14.2</v>
      </c>
      <c r="E17" s="164"/>
      <c r="F17" s="64">
        <v>33</v>
      </c>
      <c r="G17" s="89">
        <f t="shared" si="9"/>
        <v>8.6060606060606055</v>
      </c>
      <c r="H17" s="36">
        <v>46219</v>
      </c>
      <c r="I17" s="143">
        <f t="shared" si="1"/>
        <v>46227.606060606064</v>
      </c>
      <c r="J17" s="112"/>
      <c r="K17" s="117"/>
      <c r="L17" s="118"/>
      <c r="M17" s="112"/>
      <c r="N17" s="115"/>
      <c r="O17" s="116"/>
      <c r="P17" s="110"/>
      <c r="Q17" s="115"/>
      <c r="R17" s="116"/>
      <c r="S17" s="42"/>
      <c r="T17" s="113" t="str">
        <f t="shared" si="7"/>
        <v/>
      </c>
      <c r="U17" s="129" t="str">
        <f t="shared" si="8"/>
        <v/>
      </c>
      <c r="V17" s="134">
        <f t="shared" si="4"/>
        <v>8.6060606060606055</v>
      </c>
      <c r="W17" s="135">
        <f t="shared" si="5"/>
        <v>46227.606060606064</v>
      </c>
      <c r="X17" s="131" t="str">
        <f t="shared" si="6"/>
        <v>AMAN</v>
      </c>
    </row>
    <row r="18" spans="1:24" ht="16" thickBot="1">
      <c r="A18" s="160" t="s">
        <v>24</v>
      </c>
      <c r="B18" s="68" t="s">
        <v>1</v>
      </c>
      <c r="C18" s="51">
        <v>950</v>
      </c>
      <c r="D18" s="52">
        <f>(C18*5.5)/1000</f>
        <v>5.2249999999999996</v>
      </c>
      <c r="E18" s="162">
        <f>SUM(D18:D20)</f>
        <v>28.717000000000002</v>
      </c>
      <c r="F18" s="62">
        <v>110</v>
      </c>
      <c r="G18" s="87">
        <f>IFERROR(C18/F18,"")</f>
        <v>8.6363636363636367</v>
      </c>
      <c r="H18" s="21">
        <v>46219</v>
      </c>
      <c r="I18" s="144">
        <f t="shared" si="1"/>
        <v>46227.63636363636</v>
      </c>
      <c r="J18" s="114"/>
      <c r="K18" s="115"/>
      <c r="L18" s="116"/>
      <c r="M18" s="149"/>
      <c r="N18" s="157"/>
      <c r="O18" s="119"/>
      <c r="P18" s="114"/>
      <c r="Q18" s="154"/>
      <c r="R18" s="151"/>
      <c r="S18" s="33"/>
      <c r="T18" s="113" t="str">
        <f t="shared" si="7"/>
        <v/>
      </c>
      <c r="U18" s="129" t="str">
        <f t="shared" si="8"/>
        <v/>
      </c>
      <c r="V18" s="134">
        <f t="shared" si="4"/>
        <v>8.6363636363636367</v>
      </c>
      <c r="W18" s="135">
        <f t="shared" si="5"/>
        <v>46227.63636363636</v>
      </c>
      <c r="X18" s="131" t="str">
        <f t="shared" si="6"/>
        <v>AMAN</v>
      </c>
    </row>
    <row r="19" spans="1:24" ht="16" thickBot="1">
      <c r="A19" s="161"/>
      <c r="B19" s="69" t="s">
        <v>3</v>
      </c>
      <c r="C19" s="53">
        <v>1766</v>
      </c>
      <c r="D19" s="52">
        <f>(C19*12)/1000</f>
        <v>21.192</v>
      </c>
      <c r="E19" s="163"/>
      <c r="F19" s="63">
        <v>140</v>
      </c>
      <c r="G19" s="88">
        <f t="shared" ref="G19:G23" si="12">IFERROR(C19/F19,"")</f>
        <v>12.614285714285714</v>
      </c>
      <c r="H19" s="9">
        <v>46219</v>
      </c>
      <c r="I19" s="137">
        <f t="shared" si="1"/>
        <v>46231.614285714284</v>
      </c>
      <c r="J19" s="111"/>
      <c r="K19" s="115"/>
      <c r="L19" s="116"/>
      <c r="M19" s="148"/>
      <c r="N19" s="115"/>
      <c r="O19" s="116"/>
      <c r="P19" s="111"/>
      <c r="Q19" s="155"/>
      <c r="R19" s="152"/>
      <c r="S19" s="12"/>
      <c r="T19" s="113" t="str">
        <f t="shared" si="7"/>
        <v/>
      </c>
      <c r="U19" s="129" t="str">
        <f t="shared" si="8"/>
        <v/>
      </c>
      <c r="V19" s="134">
        <f t="shared" si="4"/>
        <v>12.614285714285714</v>
      </c>
      <c r="W19" s="135">
        <f t="shared" si="5"/>
        <v>46231.614285714284</v>
      </c>
      <c r="X19" s="131" t="str">
        <f t="shared" si="6"/>
        <v>AMAN</v>
      </c>
    </row>
    <row r="20" spans="1:24" ht="16" thickBot="1">
      <c r="A20" s="161"/>
      <c r="B20" s="70" t="s">
        <v>4</v>
      </c>
      <c r="C20" s="55">
        <v>46</v>
      </c>
      <c r="D20" s="52">
        <f>(C20*50)/1000</f>
        <v>2.2999999999999998</v>
      </c>
      <c r="E20" s="164"/>
      <c r="F20" s="64">
        <v>4</v>
      </c>
      <c r="G20" s="89">
        <f t="shared" si="12"/>
        <v>11.5</v>
      </c>
      <c r="H20" s="36">
        <v>46219</v>
      </c>
      <c r="I20" s="138">
        <f t="shared" si="1"/>
        <v>46230.5</v>
      </c>
      <c r="J20" s="112"/>
      <c r="K20" s="117"/>
      <c r="L20" s="118"/>
      <c r="M20" s="150"/>
      <c r="N20" s="117"/>
      <c r="O20" s="118"/>
      <c r="P20" s="112"/>
      <c r="Q20" s="156"/>
      <c r="R20" s="153"/>
      <c r="S20" s="42"/>
      <c r="T20" s="113" t="str">
        <f t="shared" si="7"/>
        <v/>
      </c>
      <c r="U20" s="129" t="str">
        <f t="shared" si="8"/>
        <v/>
      </c>
      <c r="V20" s="134">
        <f t="shared" si="4"/>
        <v>11.5</v>
      </c>
      <c r="W20" s="135">
        <f t="shared" si="5"/>
        <v>46230.5</v>
      </c>
      <c r="X20" s="131" t="str">
        <f t="shared" si="6"/>
        <v>AMAN</v>
      </c>
    </row>
    <row r="21" spans="1:24" ht="16" thickBot="1">
      <c r="A21" s="160" t="s">
        <v>25</v>
      </c>
      <c r="B21" s="68" t="s">
        <v>1</v>
      </c>
      <c r="C21" s="51">
        <v>4641</v>
      </c>
      <c r="D21" s="52">
        <f>(C21*5.5)/1000</f>
        <v>25.525500000000001</v>
      </c>
      <c r="E21" s="162">
        <f>SUM(D21:D23)</f>
        <v>168.19749999999999</v>
      </c>
      <c r="F21" s="62">
        <v>550</v>
      </c>
      <c r="G21" s="87">
        <f t="shared" si="12"/>
        <v>8.4381818181818176</v>
      </c>
      <c r="H21" s="21">
        <v>46219</v>
      </c>
      <c r="I21" s="136">
        <f t="shared" si="1"/>
        <v>46227.438181818179</v>
      </c>
      <c r="J21" s="114"/>
      <c r="K21" s="115"/>
      <c r="L21" s="116"/>
      <c r="M21" s="10"/>
      <c r="N21" s="204"/>
      <c r="O21" s="198"/>
      <c r="P21" s="201"/>
      <c r="Q21" s="198"/>
      <c r="R21" s="33"/>
      <c r="S21" s="33"/>
      <c r="T21" s="113" t="str">
        <f t="shared" si="7"/>
        <v/>
      </c>
      <c r="U21" s="129" t="str">
        <f t="shared" si="8"/>
        <v/>
      </c>
      <c r="V21" s="134">
        <f t="shared" si="4"/>
        <v>8.4381818181818176</v>
      </c>
      <c r="W21" s="135">
        <f t="shared" si="5"/>
        <v>46227.438181818179</v>
      </c>
      <c r="X21" s="131" t="str">
        <f t="shared" si="6"/>
        <v>AMAN</v>
      </c>
    </row>
    <row r="22" spans="1:24" ht="16" thickBot="1">
      <c r="A22" s="161"/>
      <c r="B22" s="69" t="s">
        <v>3</v>
      </c>
      <c r="C22" s="53">
        <v>8706</v>
      </c>
      <c r="D22" s="52">
        <f>(C22*12)/1000</f>
        <v>104.47199999999999</v>
      </c>
      <c r="E22" s="163"/>
      <c r="F22" s="63">
        <v>555</v>
      </c>
      <c r="G22" s="88">
        <f t="shared" si="12"/>
        <v>15.686486486486487</v>
      </c>
      <c r="H22" s="9">
        <v>46219</v>
      </c>
      <c r="I22" s="137">
        <f t="shared" si="1"/>
        <v>46234.686486486484</v>
      </c>
      <c r="J22" s="111"/>
      <c r="K22" s="115"/>
      <c r="L22" s="116"/>
      <c r="M22" s="10"/>
      <c r="N22" s="204"/>
      <c r="O22" s="198"/>
      <c r="P22" s="201"/>
      <c r="Q22" s="198"/>
      <c r="R22" s="9"/>
      <c r="S22" s="9"/>
      <c r="T22" s="113" t="str">
        <f t="shared" si="7"/>
        <v/>
      </c>
      <c r="U22" s="129" t="str">
        <f t="shared" si="8"/>
        <v/>
      </c>
      <c r="V22" s="134">
        <f t="shared" si="4"/>
        <v>15.686486486486487</v>
      </c>
      <c r="W22" s="135">
        <f t="shared" si="5"/>
        <v>46234.686486486484</v>
      </c>
      <c r="X22" s="131" t="str">
        <f t="shared" si="6"/>
        <v>AMAN</v>
      </c>
    </row>
    <row r="23" spans="1:24" ht="16" thickBot="1">
      <c r="A23" s="208"/>
      <c r="B23" s="120" t="s">
        <v>4</v>
      </c>
      <c r="C23" s="121">
        <v>764</v>
      </c>
      <c r="D23" s="78">
        <f>(C23*50)/1000</f>
        <v>38.200000000000003</v>
      </c>
      <c r="E23" s="209"/>
      <c r="F23" s="122">
        <v>66</v>
      </c>
      <c r="G23" s="123">
        <f t="shared" si="12"/>
        <v>11.575757575757576</v>
      </c>
      <c r="H23" s="36">
        <v>46219</v>
      </c>
      <c r="I23" s="140">
        <f t="shared" si="1"/>
        <v>46230.57575757576</v>
      </c>
      <c r="J23" s="110"/>
      <c r="K23" s="115"/>
      <c r="L23" s="116"/>
      <c r="M23" s="10"/>
      <c r="N23" s="204"/>
      <c r="O23" s="198"/>
      <c r="P23" s="201"/>
      <c r="Q23" s="198"/>
      <c r="R23" s="9"/>
      <c r="S23" s="9"/>
      <c r="T23" s="124" t="str">
        <f t="shared" si="7"/>
        <v/>
      </c>
      <c r="U23" s="130" t="str">
        <f t="shared" si="8"/>
        <v/>
      </c>
      <c r="V23" s="134">
        <f t="shared" si="4"/>
        <v>11.575757575757576</v>
      </c>
      <c r="W23" s="135">
        <f t="shared" si="5"/>
        <v>46230.57575757576</v>
      </c>
      <c r="X23" s="132" t="str">
        <f t="shared" si="6"/>
        <v>AMAN</v>
      </c>
    </row>
    <row r="24" spans="1:24" ht="19" thickBot="1">
      <c r="A24" s="101" t="s">
        <v>17</v>
      </c>
      <c r="B24" s="102"/>
      <c r="C24" s="103">
        <f>SUM(C3:C23)</f>
        <v>53063</v>
      </c>
      <c r="D24" s="103">
        <f t="shared" ref="D24:G24" si="13">SUM(D3:D23)</f>
        <v>624.10850000000016</v>
      </c>
      <c r="E24" s="103">
        <f t="shared" si="13"/>
        <v>624.10850000000005</v>
      </c>
      <c r="F24" s="104">
        <f t="shared" si="13"/>
        <v>4177</v>
      </c>
      <c r="G24" s="104">
        <f t="shared" si="13"/>
        <v>289.07692269569611</v>
      </c>
      <c r="H24" s="125">
        <v>46189</v>
      </c>
      <c r="I24" s="105"/>
      <c r="J24" s="106"/>
      <c r="K24" s="106"/>
      <c r="L24" s="107"/>
      <c r="M24" s="106"/>
      <c r="N24" s="106"/>
      <c r="O24" s="106"/>
      <c r="P24" s="106"/>
      <c r="Q24" s="106"/>
      <c r="R24" s="106"/>
      <c r="S24" s="106"/>
      <c r="T24" s="106"/>
      <c r="U24" s="106"/>
      <c r="V24" s="133"/>
      <c r="W24" s="133"/>
      <c r="X24" s="106"/>
    </row>
    <row r="31" spans="1:24">
      <c r="M31" t="s">
        <v>39</v>
      </c>
    </row>
  </sheetData>
  <mergeCells count="33">
    <mergeCell ref="X1:X2"/>
    <mergeCell ref="A3:A5"/>
    <mergeCell ref="E3:E5"/>
    <mergeCell ref="G1:G2"/>
    <mergeCell ref="H1:H2"/>
    <mergeCell ref="I1:I2"/>
    <mergeCell ref="J1:M1"/>
    <mergeCell ref="N1:Q1"/>
    <mergeCell ref="R1:U1"/>
    <mergeCell ref="A1:A2"/>
    <mergeCell ref="B1:B2"/>
    <mergeCell ref="C1:C2"/>
    <mergeCell ref="V1:V2"/>
    <mergeCell ref="W1:W2"/>
    <mergeCell ref="D1:D2"/>
    <mergeCell ref="E1:E2"/>
    <mergeCell ref="N21:N23"/>
    <mergeCell ref="O21:O23"/>
    <mergeCell ref="P21:P23"/>
    <mergeCell ref="Q21:Q23"/>
    <mergeCell ref="F1:F2"/>
    <mergeCell ref="A6:A8"/>
    <mergeCell ref="E6:E8"/>
    <mergeCell ref="A9:A11"/>
    <mergeCell ref="E9:E11"/>
    <mergeCell ref="A12:A14"/>
    <mergeCell ref="E12:E14"/>
    <mergeCell ref="A21:A23"/>
    <mergeCell ref="E21:E23"/>
    <mergeCell ref="A18:A20"/>
    <mergeCell ref="E18:E20"/>
    <mergeCell ref="A15:A17"/>
    <mergeCell ref="E15:E17"/>
  </mergeCells>
  <conditionalFormatting sqref="I3:I23">
    <cfRule type="expression" dxfId="10" priority="5">
      <formula>AND($I3&lt;&gt;"",$I3&gt;TODAY()+3,$I3&lt;=TODAY()+7)</formula>
    </cfRule>
    <cfRule type="expression" dxfId="9" priority="6">
      <formula>AND($I3&lt;&gt;"",$I3&gt;TODAY()+7)</formula>
    </cfRule>
  </conditionalFormatting>
  <conditionalFormatting sqref="V3:V23">
    <cfRule type="colorScale" priority="1">
      <colorScale>
        <cfvo type="min"/>
        <cfvo type="percentile" val="50"/>
        <cfvo type="max"/>
        <color rgb="FFF87171"/>
        <color rgb="FFFCD34D"/>
        <color rgb="FFBBF7D0"/>
      </colorScale>
    </cfRule>
  </conditionalFormatting>
  <conditionalFormatting sqref="X3:X23">
    <cfRule type="expression" dxfId="8" priority="10">
      <formula>X3="CRITICAL"</formula>
    </cfRule>
    <cfRule type="expression" dxfId="7" priority="11">
      <formula>X3="WARNING"</formula>
    </cfRule>
    <cfRule type="expression" dxfId="6" priority="12">
      <formula>X3="AMAN"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A371-9F25-4555-BE6C-D6942CB0DE6F}">
  <dimension ref="A1:N58"/>
  <sheetViews>
    <sheetView zoomScale="55" zoomScaleNormal="55" workbookViewId="0">
      <selection activeCell="I28" sqref="I28"/>
    </sheetView>
  </sheetViews>
  <sheetFormatPr defaultColWidth="18.08984375" defaultRowHeight="14.5"/>
  <cols>
    <col min="1" max="1" width="35.36328125" customWidth="1"/>
    <col min="4" max="4" width="0" hidden="1" customWidth="1"/>
    <col min="9" max="9" width="18.1796875" customWidth="1"/>
    <col min="10" max="12" width="0" hidden="1" customWidth="1"/>
    <col min="13" max="13" width="24.1796875" hidden="1" customWidth="1"/>
  </cols>
  <sheetData>
    <row r="1" spans="1:14" ht="15.5">
      <c r="A1" s="158" t="s">
        <v>5</v>
      </c>
      <c r="B1" s="158" t="s">
        <v>0</v>
      </c>
      <c r="C1" s="158" t="s">
        <v>38</v>
      </c>
      <c r="D1" s="158" t="s">
        <v>6</v>
      </c>
      <c r="E1" s="158" t="s">
        <v>7</v>
      </c>
      <c r="F1" s="165" t="s">
        <v>8</v>
      </c>
      <c r="G1" s="165" t="s">
        <v>9</v>
      </c>
      <c r="H1" s="165" t="s">
        <v>10</v>
      </c>
      <c r="I1" s="165" t="s">
        <v>11</v>
      </c>
      <c r="J1" s="167" t="s">
        <v>18</v>
      </c>
      <c r="K1" s="159"/>
      <c r="L1" s="159"/>
      <c r="M1" s="159"/>
      <c r="N1" s="158" t="s">
        <v>12</v>
      </c>
    </row>
    <row r="2" spans="1:14" ht="31.5" thickBot="1">
      <c r="A2" s="159"/>
      <c r="B2" s="159"/>
      <c r="C2" s="171"/>
      <c r="D2" s="159"/>
      <c r="E2" s="159"/>
      <c r="F2" s="159"/>
      <c r="G2" s="159"/>
      <c r="H2" s="166"/>
      <c r="I2" s="159"/>
      <c r="J2" s="100" t="s">
        <v>32</v>
      </c>
      <c r="K2" s="100" t="s">
        <v>13</v>
      </c>
      <c r="L2" s="100" t="s">
        <v>14</v>
      </c>
      <c r="M2" s="99" t="s">
        <v>31</v>
      </c>
      <c r="N2" s="159"/>
    </row>
    <row r="3" spans="1:14" ht="16" thickBot="1">
      <c r="A3" s="168" t="s">
        <v>20</v>
      </c>
      <c r="B3" s="68" t="s">
        <v>1</v>
      </c>
      <c r="C3" s="51">
        <v>1060</v>
      </c>
      <c r="D3" s="52">
        <f>(C3*5.5)/1000</f>
        <v>5.83</v>
      </c>
      <c r="E3" s="162">
        <f>SUM(D3:D5)</f>
        <v>42.177999999999997</v>
      </c>
      <c r="F3" s="79">
        <v>34</v>
      </c>
      <c r="G3" s="82">
        <f t="shared" ref="G3:G5" si="0">IFERROR(C3/F3,"")</f>
        <v>31.176470588235293</v>
      </c>
      <c r="H3" s="27">
        <v>46219</v>
      </c>
      <c r="I3" s="28">
        <f t="shared" ref="I3:I5" si="1">IF(H3="","",H3+G3)</f>
        <v>46250.176470588238</v>
      </c>
      <c r="J3" s="96">
        <v>1359</v>
      </c>
      <c r="K3" s="91">
        <v>46194</v>
      </c>
      <c r="L3" s="97">
        <f>IF(OR(J3="",K3="",F3=0),"",(MAX(0,C3-(F3*(K3-H3)))+J3)/F3)</f>
        <v>96.147058823529406</v>
      </c>
      <c r="M3" s="98">
        <f>IF(L3="","",L3+K3)</f>
        <v>46290.147058823532</v>
      </c>
      <c r="N3" s="34" t="str">
        <f>IF(I3&lt;3,"KRITIS",IF(I3&lt;4,"WARNING","AMAN"))</f>
        <v>AMAN</v>
      </c>
    </row>
    <row r="4" spans="1:14" ht="16" thickBot="1">
      <c r="A4" s="169"/>
      <c r="B4" s="69" t="s">
        <v>3</v>
      </c>
      <c r="C4" s="53">
        <v>2379</v>
      </c>
      <c r="D4" s="52">
        <f>(C4*12)/1000</f>
        <v>28.547999999999998</v>
      </c>
      <c r="E4" s="163"/>
      <c r="F4" s="80">
        <v>151</v>
      </c>
      <c r="G4" s="83">
        <f t="shared" si="0"/>
        <v>15.754966887417218</v>
      </c>
      <c r="H4" s="9">
        <v>46219</v>
      </c>
      <c r="I4" s="24">
        <f t="shared" si="1"/>
        <v>46234.75496688742</v>
      </c>
      <c r="J4" s="86">
        <v>6138</v>
      </c>
      <c r="K4" s="76">
        <v>46194</v>
      </c>
      <c r="L4" s="85">
        <f t="shared" ref="L4:L8" si="2">IF(OR(J4="",K4="",F4=0),"",(MAX(0,C4-(F4*(K4-H4)))+J4)/F4)</f>
        <v>81.403973509933778</v>
      </c>
      <c r="M4" s="90">
        <f t="shared" ref="M4:M5" si="3">IF(L4="","",L4+K4)</f>
        <v>46275.403973509936</v>
      </c>
      <c r="N4" s="34" t="str">
        <f t="shared" ref="N4:N23" si="4">IF(I4&lt;3,"KRITIS",IF(I4&lt;4,"WARNING","AMAN"))</f>
        <v>AMAN</v>
      </c>
    </row>
    <row r="5" spans="1:14" ht="16" thickBot="1">
      <c r="A5" s="170"/>
      <c r="B5" s="70" t="s">
        <v>4</v>
      </c>
      <c r="C5" s="55">
        <v>156</v>
      </c>
      <c r="D5" s="52">
        <f>(C5*50)/1000</f>
        <v>7.8</v>
      </c>
      <c r="E5" s="164"/>
      <c r="F5" s="81">
        <v>6</v>
      </c>
      <c r="G5" s="84">
        <f t="shared" si="0"/>
        <v>26</v>
      </c>
      <c r="H5" s="36">
        <v>46219</v>
      </c>
      <c r="I5" s="37">
        <f t="shared" si="1"/>
        <v>46245</v>
      </c>
      <c r="J5" s="93">
        <v>0</v>
      </c>
      <c r="K5" s="92">
        <v>46194</v>
      </c>
      <c r="L5" s="94">
        <f t="shared" si="2"/>
        <v>51</v>
      </c>
      <c r="M5" s="95">
        <f t="shared" si="3"/>
        <v>46245</v>
      </c>
      <c r="N5" s="34" t="str">
        <f t="shared" si="4"/>
        <v>AMAN</v>
      </c>
    </row>
    <row r="6" spans="1:14" ht="16" thickBot="1">
      <c r="A6" s="160" t="s">
        <v>21</v>
      </c>
      <c r="B6" s="68" t="s">
        <v>1</v>
      </c>
      <c r="C6" s="51">
        <v>2136</v>
      </c>
      <c r="D6" s="52">
        <f>(C6*5.5)/1000</f>
        <v>11.747999999999999</v>
      </c>
      <c r="E6" s="162">
        <f>SUM(D6:D8)</f>
        <v>62.480000000000004</v>
      </c>
      <c r="F6" s="79">
        <v>118</v>
      </c>
      <c r="G6" s="82">
        <f>IFERROR(C6/F6,"")</f>
        <v>18.101694915254239</v>
      </c>
      <c r="H6" s="27">
        <v>46219</v>
      </c>
      <c r="I6" s="44">
        <f>IF(H6="","",H6+G6)</f>
        <v>46237.101694915254</v>
      </c>
      <c r="J6" s="96">
        <v>2252</v>
      </c>
      <c r="K6" s="91">
        <v>46200</v>
      </c>
      <c r="L6" s="97">
        <f>IF(OR(J6="",K6="",F6=0),"",(MAX(0,C6-(F6*(K6-H6)))+J6)/F6)</f>
        <v>56.186440677966104</v>
      </c>
      <c r="M6" s="98">
        <f>IF(L6="","",L6+K6)</f>
        <v>46256.186440677964</v>
      </c>
      <c r="N6" s="34" t="str">
        <f t="shared" si="4"/>
        <v>AMAN</v>
      </c>
    </row>
    <row r="7" spans="1:14" ht="16" thickBot="1">
      <c r="A7" s="161"/>
      <c r="B7" s="69" t="s">
        <v>3</v>
      </c>
      <c r="C7" s="53">
        <v>3036</v>
      </c>
      <c r="D7" s="52">
        <f>(C7*12)/1000</f>
        <v>36.432000000000002</v>
      </c>
      <c r="E7" s="163"/>
      <c r="F7" s="80">
        <v>253</v>
      </c>
      <c r="G7" s="83">
        <f>IFERROR(C7/F7,"")</f>
        <v>12</v>
      </c>
      <c r="H7" s="9">
        <v>46219</v>
      </c>
      <c r="I7" s="24">
        <f t="shared" ref="I7:I23" si="5">IF(H7="","",H7+G7)</f>
        <v>46231</v>
      </c>
      <c r="J7" s="86">
        <v>3588</v>
      </c>
      <c r="K7" s="76">
        <v>46200</v>
      </c>
      <c r="L7" s="85">
        <f t="shared" si="2"/>
        <v>45.18181818181818</v>
      </c>
      <c r="M7" s="90">
        <f t="shared" ref="M7:M8" si="6">IF(L7="","",L7+K7)</f>
        <v>46245.181818181816</v>
      </c>
      <c r="N7" s="34" t="str">
        <f t="shared" si="4"/>
        <v>AMAN</v>
      </c>
    </row>
    <row r="8" spans="1:14" ht="16" thickBot="1">
      <c r="A8" s="161"/>
      <c r="B8" s="70" t="s">
        <v>4</v>
      </c>
      <c r="C8" s="55">
        <v>286</v>
      </c>
      <c r="D8" s="52">
        <f>(C8*50)/1000</f>
        <v>14.3</v>
      </c>
      <c r="E8" s="164"/>
      <c r="F8" s="81">
        <v>18</v>
      </c>
      <c r="G8" s="84">
        <f>IFERROR(C8/F8,"")</f>
        <v>15.888888888888889</v>
      </c>
      <c r="H8" s="36">
        <v>46219</v>
      </c>
      <c r="I8" s="37">
        <f t="shared" si="5"/>
        <v>46234.888888888891</v>
      </c>
      <c r="J8" s="93">
        <v>165</v>
      </c>
      <c r="K8" s="92">
        <v>46200</v>
      </c>
      <c r="L8" s="94">
        <f t="shared" si="2"/>
        <v>44.055555555555557</v>
      </c>
      <c r="M8" s="95">
        <f t="shared" si="6"/>
        <v>46244.055555555555</v>
      </c>
      <c r="N8" s="34" t="str">
        <f t="shared" si="4"/>
        <v>AMAN</v>
      </c>
    </row>
    <row r="9" spans="1:14" ht="16" thickBot="1">
      <c r="A9" s="160" t="s">
        <v>19</v>
      </c>
      <c r="B9" s="68" t="s">
        <v>1</v>
      </c>
      <c r="C9" s="51">
        <v>2300</v>
      </c>
      <c r="D9" s="52">
        <f>(C9*5.5)/1000</f>
        <v>12.65</v>
      </c>
      <c r="E9" s="162">
        <f>SUM(D9:D11)</f>
        <v>104.78999999999999</v>
      </c>
      <c r="F9" s="79">
        <v>200</v>
      </c>
      <c r="G9" s="82">
        <f>IFERROR(C9/F9,"")</f>
        <v>11.5</v>
      </c>
      <c r="H9" s="27">
        <v>46219</v>
      </c>
      <c r="I9" s="28">
        <f t="shared" si="5"/>
        <v>46230.5</v>
      </c>
      <c r="J9" s="110"/>
      <c r="K9" s="110"/>
      <c r="L9" s="110"/>
      <c r="M9" s="10"/>
      <c r="N9" s="34" t="str">
        <f t="shared" si="4"/>
        <v>AMAN</v>
      </c>
    </row>
    <row r="10" spans="1:14" ht="16" thickBot="1">
      <c r="A10" s="161"/>
      <c r="B10" s="69" t="s">
        <v>3</v>
      </c>
      <c r="C10" s="53">
        <v>3720</v>
      </c>
      <c r="D10" s="52">
        <f>(C10*12)/1000</f>
        <v>44.64</v>
      </c>
      <c r="E10" s="163"/>
      <c r="F10" s="80">
        <v>340</v>
      </c>
      <c r="G10" s="83">
        <f t="shared" ref="G10:G11" si="7">IFERROR(C10/F10,"")</f>
        <v>10.941176470588236</v>
      </c>
      <c r="H10" s="9">
        <v>46219</v>
      </c>
      <c r="I10" s="24">
        <f t="shared" si="5"/>
        <v>46229.941176470587</v>
      </c>
      <c r="J10" s="111"/>
      <c r="K10" s="111"/>
      <c r="L10" s="111"/>
      <c r="M10" s="10"/>
      <c r="N10" s="34" t="str">
        <f t="shared" si="4"/>
        <v>AMAN</v>
      </c>
    </row>
    <row r="11" spans="1:14" ht="16" thickBot="1">
      <c r="A11" s="161"/>
      <c r="B11" s="70" t="s">
        <v>4</v>
      </c>
      <c r="C11" s="55">
        <v>950</v>
      </c>
      <c r="D11" s="52">
        <f>(C11*50)/1000</f>
        <v>47.5</v>
      </c>
      <c r="E11" s="164"/>
      <c r="F11" s="81">
        <v>45</v>
      </c>
      <c r="G11" s="84">
        <f t="shared" si="7"/>
        <v>21.111111111111111</v>
      </c>
      <c r="H11" s="36">
        <v>46219</v>
      </c>
      <c r="I11" s="37">
        <f t="shared" si="5"/>
        <v>46240.111111111109</v>
      </c>
      <c r="J11" s="112"/>
      <c r="K11" s="112"/>
      <c r="L11" s="112"/>
      <c r="M11" s="47"/>
      <c r="N11" s="34" t="str">
        <f t="shared" si="4"/>
        <v>AMAN</v>
      </c>
    </row>
    <row r="12" spans="1:14" ht="16" thickBot="1">
      <c r="A12" s="160" t="s">
        <v>22</v>
      </c>
      <c r="B12" s="68" t="s">
        <v>1</v>
      </c>
      <c r="C12" s="51">
        <v>1433</v>
      </c>
      <c r="D12" s="52">
        <f>(C12*5.5)/1000</f>
        <v>7.8815</v>
      </c>
      <c r="E12" s="162">
        <f>SUM(D12:D14)</f>
        <v>27.905499999999996</v>
      </c>
      <c r="F12" s="79">
        <v>137.5</v>
      </c>
      <c r="G12" s="82">
        <f>IFERROR(C12/F12,"")</f>
        <v>10.421818181818182</v>
      </c>
      <c r="H12" s="27">
        <v>46219</v>
      </c>
      <c r="I12" s="28">
        <f t="shared" si="5"/>
        <v>46229.421818181821</v>
      </c>
      <c r="J12" s="110"/>
      <c r="K12" s="110"/>
      <c r="L12" s="110"/>
      <c r="M12" s="10"/>
      <c r="N12" s="34" t="str">
        <f t="shared" si="4"/>
        <v>AMAN</v>
      </c>
    </row>
    <row r="13" spans="1:14" ht="16" thickBot="1">
      <c r="A13" s="161"/>
      <c r="B13" s="69" t="s">
        <v>3</v>
      </c>
      <c r="C13" s="53">
        <v>1552</v>
      </c>
      <c r="D13" s="52">
        <f>(C13*12)/1000</f>
        <v>18.623999999999999</v>
      </c>
      <c r="E13" s="163"/>
      <c r="F13" s="80">
        <v>177.5</v>
      </c>
      <c r="G13" s="83">
        <f t="shared" ref="G13:G17" si="8">IFERROR(C13/F13,"")</f>
        <v>8.7436619718309867</v>
      </c>
      <c r="H13" s="9">
        <v>46219</v>
      </c>
      <c r="I13" s="24">
        <f t="shared" si="5"/>
        <v>46227.743661971828</v>
      </c>
      <c r="J13" s="111"/>
      <c r="K13" s="111"/>
      <c r="L13" s="111"/>
      <c r="M13" s="10"/>
      <c r="N13" s="34" t="str">
        <f t="shared" si="4"/>
        <v>AMAN</v>
      </c>
    </row>
    <row r="14" spans="1:14" ht="16" thickBot="1">
      <c r="A14" s="161"/>
      <c r="B14" s="70" t="s">
        <v>4</v>
      </c>
      <c r="C14" s="55">
        <v>28</v>
      </c>
      <c r="D14" s="52">
        <f>(C14*50)/1000</f>
        <v>1.4</v>
      </c>
      <c r="E14" s="164"/>
      <c r="F14" s="81">
        <v>2</v>
      </c>
      <c r="G14" s="84">
        <f t="shared" si="8"/>
        <v>14</v>
      </c>
      <c r="H14" s="36">
        <v>46219</v>
      </c>
      <c r="I14" s="25">
        <f t="shared" si="5"/>
        <v>46233</v>
      </c>
      <c r="J14" s="112"/>
      <c r="K14" s="112"/>
      <c r="L14" s="112"/>
      <c r="M14" s="47"/>
      <c r="N14" s="34" t="str">
        <f t="shared" si="4"/>
        <v>AMAN</v>
      </c>
    </row>
    <row r="15" spans="1:14" ht="16" thickBot="1">
      <c r="A15" s="160" t="s">
        <v>23</v>
      </c>
      <c r="B15" s="68" t="s">
        <v>1</v>
      </c>
      <c r="C15" s="51">
        <v>564</v>
      </c>
      <c r="D15" s="52">
        <f>(C15*5.5)/1000</f>
        <v>3.1019999999999999</v>
      </c>
      <c r="E15" s="162">
        <f>SUM(D15:D17)</f>
        <v>30.853999999999999</v>
      </c>
      <c r="F15" s="79">
        <v>56</v>
      </c>
      <c r="G15" s="82">
        <f t="shared" si="8"/>
        <v>10.071428571428571</v>
      </c>
      <c r="H15" s="27">
        <v>46219</v>
      </c>
      <c r="I15" s="59">
        <f t="shared" si="5"/>
        <v>46229.071428571428</v>
      </c>
      <c r="J15" s="110"/>
      <c r="K15" s="110"/>
      <c r="L15" s="110"/>
      <c r="M15" s="10"/>
      <c r="N15" s="34" t="str">
        <f t="shared" si="4"/>
        <v>AMAN</v>
      </c>
    </row>
    <row r="16" spans="1:14" ht="16" thickBot="1">
      <c r="A16" s="161"/>
      <c r="B16" s="69" t="s">
        <v>3</v>
      </c>
      <c r="C16" s="53">
        <v>1596</v>
      </c>
      <c r="D16" s="52">
        <f>(C16*12)/1000</f>
        <v>19.152000000000001</v>
      </c>
      <c r="E16" s="163"/>
      <c r="F16" s="80">
        <v>102</v>
      </c>
      <c r="G16" s="83">
        <f t="shared" si="8"/>
        <v>15.647058823529411</v>
      </c>
      <c r="H16" s="9">
        <v>46219</v>
      </c>
      <c r="I16" s="60">
        <f t="shared" si="5"/>
        <v>46234.647058823532</v>
      </c>
      <c r="J16" s="111"/>
      <c r="K16" s="111"/>
      <c r="L16" s="111"/>
      <c r="M16" s="10"/>
      <c r="N16" s="34" t="str">
        <f t="shared" si="4"/>
        <v>AMAN</v>
      </c>
    </row>
    <row r="17" spans="1:14" ht="16" thickBot="1">
      <c r="A17" s="161"/>
      <c r="B17" s="70" t="s">
        <v>4</v>
      </c>
      <c r="C17" s="55">
        <v>172</v>
      </c>
      <c r="D17" s="52">
        <f>(C17*50)/1000</f>
        <v>8.6</v>
      </c>
      <c r="E17" s="164"/>
      <c r="F17" s="81">
        <v>21</v>
      </c>
      <c r="G17" s="84">
        <f t="shared" si="8"/>
        <v>8.1904761904761898</v>
      </c>
      <c r="H17" s="36">
        <v>46219</v>
      </c>
      <c r="I17" s="61">
        <f t="shared" si="5"/>
        <v>46227.190476190473</v>
      </c>
      <c r="J17" s="112"/>
      <c r="K17" s="112"/>
      <c r="L17" s="112"/>
      <c r="M17" s="47"/>
      <c r="N17" s="34" t="str">
        <f t="shared" si="4"/>
        <v>AMAN</v>
      </c>
    </row>
    <row r="18" spans="1:14" ht="16" thickBot="1">
      <c r="A18" s="160" t="s">
        <v>24</v>
      </c>
      <c r="B18" s="68" t="s">
        <v>1</v>
      </c>
      <c r="C18" s="51">
        <v>946</v>
      </c>
      <c r="D18" s="52">
        <f>(C18*5.5)/1000</f>
        <v>5.2030000000000003</v>
      </c>
      <c r="E18" s="162">
        <f>SUM(D18:D20)</f>
        <v>23.981000000000002</v>
      </c>
      <c r="F18" s="79">
        <v>110</v>
      </c>
      <c r="G18" s="82">
        <f>IFERROR(C18/F18,"")</f>
        <v>8.6</v>
      </c>
      <c r="H18" s="27">
        <v>46219</v>
      </c>
      <c r="I18" s="26">
        <f t="shared" si="5"/>
        <v>46227.6</v>
      </c>
      <c r="J18" s="110"/>
      <c r="K18" s="110"/>
      <c r="L18" s="110"/>
      <c r="M18" s="10"/>
      <c r="N18" s="34" t="str">
        <f t="shared" si="4"/>
        <v>AMAN</v>
      </c>
    </row>
    <row r="19" spans="1:14" ht="16" thickBot="1">
      <c r="A19" s="161"/>
      <c r="B19" s="69" t="s">
        <v>3</v>
      </c>
      <c r="C19" s="53">
        <v>1369</v>
      </c>
      <c r="D19" s="52">
        <f>(C19*12)/1000</f>
        <v>16.428000000000001</v>
      </c>
      <c r="E19" s="163"/>
      <c r="F19" s="80">
        <v>160</v>
      </c>
      <c r="G19" s="83">
        <f t="shared" ref="G19:G23" si="9">IFERROR(C19/F19,"")</f>
        <v>8.5562500000000004</v>
      </c>
      <c r="H19" s="9">
        <v>46219</v>
      </c>
      <c r="I19" s="24">
        <f t="shared" si="5"/>
        <v>46227.556250000001</v>
      </c>
      <c r="J19" s="111"/>
      <c r="K19" s="111"/>
      <c r="L19" s="111"/>
      <c r="M19" s="10"/>
      <c r="N19" s="34" t="str">
        <f t="shared" si="4"/>
        <v>AMAN</v>
      </c>
    </row>
    <row r="20" spans="1:14" ht="16" thickBot="1">
      <c r="A20" s="161"/>
      <c r="B20" s="70" t="s">
        <v>4</v>
      </c>
      <c r="C20" s="55">
        <v>47</v>
      </c>
      <c r="D20" s="52">
        <f>(C20*50)/1000</f>
        <v>2.35</v>
      </c>
      <c r="E20" s="164"/>
      <c r="F20" s="81">
        <v>4</v>
      </c>
      <c r="G20" s="84">
        <f t="shared" si="9"/>
        <v>11.75</v>
      </c>
      <c r="H20" s="36">
        <v>46219</v>
      </c>
      <c r="I20" s="37">
        <f t="shared" si="5"/>
        <v>46230.75</v>
      </c>
      <c r="J20" s="112"/>
      <c r="K20" s="112"/>
      <c r="L20" s="112"/>
      <c r="M20" s="47"/>
      <c r="N20" s="34" t="str">
        <f t="shared" si="4"/>
        <v>AMAN</v>
      </c>
    </row>
    <row r="21" spans="1:14" ht="16" thickBot="1">
      <c r="A21" s="160" t="s">
        <v>25</v>
      </c>
      <c r="B21" s="68" t="s">
        <v>1</v>
      </c>
      <c r="C21" s="51">
        <v>1040</v>
      </c>
      <c r="D21" s="52">
        <f>(C21*5.5)/1000</f>
        <v>5.72</v>
      </c>
      <c r="E21" s="162">
        <f>SUM(D21:D23)</f>
        <v>32.868000000000002</v>
      </c>
      <c r="F21" s="79">
        <v>115</v>
      </c>
      <c r="G21" s="82">
        <f t="shared" si="9"/>
        <v>9.0434782608695645</v>
      </c>
      <c r="H21" s="27">
        <v>46219</v>
      </c>
      <c r="I21" s="28">
        <f t="shared" si="5"/>
        <v>46228.043478260872</v>
      </c>
      <c r="J21" s="110"/>
      <c r="K21" s="110"/>
      <c r="L21" s="110"/>
      <c r="M21" s="10"/>
      <c r="N21" s="34" t="str">
        <f t="shared" si="4"/>
        <v>AMAN</v>
      </c>
    </row>
    <row r="22" spans="1:14" ht="16" thickBot="1">
      <c r="A22" s="161"/>
      <c r="B22" s="69" t="s">
        <v>3</v>
      </c>
      <c r="C22" s="53">
        <v>1704</v>
      </c>
      <c r="D22" s="78">
        <f>(C22*12)/1000</f>
        <v>20.448</v>
      </c>
      <c r="E22" s="163"/>
      <c r="F22" s="80">
        <v>111</v>
      </c>
      <c r="G22" s="83">
        <f t="shared" si="9"/>
        <v>15.351351351351351</v>
      </c>
      <c r="H22" s="9">
        <v>46219</v>
      </c>
      <c r="I22" s="24">
        <f t="shared" si="5"/>
        <v>46234.351351351354</v>
      </c>
      <c r="J22" s="111"/>
      <c r="K22" s="111"/>
      <c r="L22" s="111"/>
      <c r="M22" s="10"/>
      <c r="N22" s="34" t="str">
        <f t="shared" si="4"/>
        <v>AMAN</v>
      </c>
    </row>
    <row r="23" spans="1:14" ht="16" thickBot="1">
      <c r="A23" s="161"/>
      <c r="B23" s="70" t="s">
        <v>4</v>
      </c>
      <c r="C23" s="77">
        <v>134</v>
      </c>
      <c r="D23" s="75">
        <f>(C23*50)/1000</f>
        <v>6.7</v>
      </c>
      <c r="E23" s="172"/>
      <c r="F23" s="81">
        <v>13.2</v>
      </c>
      <c r="G23" s="84">
        <f t="shared" si="9"/>
        <v>10.151515151515152</v>
      </c>
      <c r="H23" s="36">
        <v>46219</v>
      </c>
      <c r="I23" s="37">
        <f t="shared" si="5"/>
        <v>46229.151515151512</v>
      </c>
      <c r="J23" s="112"/>
      <c r="K23" s="112"/>
      <c r="L23" s="112"/>
      <c r="M23" s="47"/>
      <c r="N23" s="34" t="str">
        <f t="shared" si="4"/>
        <v>AMAN</v>
      </c>
    </row>
    <row r="24" spans="1:14" ht="19" thickBot="1">
      <c r="A24" s="101" t="s">
        <v>17</v>
      </c>
      <c r="B24" s="102"/>
      <c r="C24" s="103">
        <f>SUM(C3:C23)</f>
        <v>26608</v>
      </c>
      <c r="D24" s="103">
        <f>SUM(D3:D23)</f>
        <v>325.05650000000003</v>
      </c>
      <c r="E24" s="103">
        <f>SUM(E3:E23)</f>
        <v>325.05649999999997</v>
      </c>
      <c r="F24" s="104">
        <f>SUM(F3:F23)</f>
        <v>2174.1999999999998</v>
      </c>
      <c r="G24" s="104">
        <f>SUM(G3:G23)</f>
        <v>293.00134736431443</v>
      </c>
      <c r="H24" s="109">
        <v>46219</v>
      </c>
      <c r="I24" s="105"/>
      <c r="J24" s="106"/>
      <c r="K24" s="106"/>
      <c r="L24" s="107"/>
      <c r="M24" s="106"/>
      <c r="N24" s="108"/>
    </row>
    <row r="27" spans="1:14">
      <c r="F27">
        <v>8.5</v>
      </c>
    </row>
    <row r="28" spans="1:14">
      <c r="F28">
        <v>47.5</v>
      </c>
    </row>
    <row r="29" spans="1:14">
      <c r="F29">
        <v>3</v>
      </c>
    </row>
    <row r="30" spans="1:14">
      <c r="F30">
        <v>59</v>
      </c>
    </row>
    <row r="31" spans="1:14">
      <c r="F31">
        <v>126.5</v>
      </c>
    </row>
    <row r="32" spans="1:14">
      <c r="F32">
        <v>9</v>
      </c>
    </row>
    <row r="33" spans="6:6">
      <c r="F33">
        <v>100</v>
      </c>
    </row>
    <row r="34" spans="6:6">
      <c r="F34">
        <v>170</v>
      </c>
    </row>
    <row r="35" spans="6:6">
      <c r="F35">
        <v>45</v>
      </c>
    </row>
    <row r="36" spans="6:6">
      <c r="F36">
        <v>137.5</v>
      </c>
    </row>
    <row r="37" spans="6:6">
      <c r="F37">
        <v>177.5</v>
      </c>
    </row>
    <row r="38" spans="6:6">
      <c r="F38">
        <v>14</v>
      </c>
    </row>
    <row r="39" spans="6:6">
      <c r="F39">
        <v>21.5</v>
      </c>
    </row>
    <row r="40" spans="6:6">
      <c r="F40">
        <v>43.5</v>
      </c>
    </row>
    <row r="41" spans="6:6">
      <c r="F41">
        <v>3.5</v>
      </c>
    </row>
    <row r="42" spans="6:6">
      <c r="F42">
        <v>241</v>
      </c>
    </row>
    <row r="43" spans="6:6">
      <c r="F43">
        <v>171</v>
      </c>
    </row>
    <row r="44" spans="6:6">
      <c r="F44">
        <v>6</v>
      </c>
    </row>
    <row r="45" spans="6:6">
      <c r="F45">
        <v>322</v>
      </c>
    </row>
    <row r="46" spans="6:6">
      <c r="F46">
        <v>245</v>
      </c>
    </row>
    <row r="47" spans="6:6">
      <c r="F47">
        <v>25</v>
      </c>
    </row>
    <row r="48" spans="6:6">
      <c r="F48" t="e">
        <f>#REF!/2</f>
        <v>#REF!</v>
      </c>
    </row>
    <row r="49" spans="6:6">
      <c r="F49">
        <f t="shared" ref="F49" si="10">F24/2</f>
        <v>1087.0999999999999</v>
      </c>
    </row>
    <row r="50" spans="6:6">
      <c r="F50">
        <f>F25/2</f>
        <v>0</v>
      </c>
    </row>
    <row r="51" spans="6:6">
      <c r="F51">
        <f t="shared" ref="F51:F53" si="11">F26/2</f>
        <v>0</v>
      </c>
    </row>
    <row r="52" spans="6:6">
      <c r="F52">
        <f t="shared" si="11"/>
        <v>4.25</v>
      </c>
    </row>
    <row r="53" spans="6:6">
      <c r="F53">
        <f t="shared" si="11"/>
        <v>23.75</v>
      </c>
    </row>
    <row r="54" spans="6:6">
      <c r="F54">
        <f>F29/2</f>
        <v>1.5</v>
      </c>
    </row>
    <row r="55" spans="6:6">
      <c r="F55">
        <f t="shared" ref="F55:F58" si="12">F30/2</f>
        <v>29.5</v>
      </c>
    </row>
    <row r="56" spans="6:6">
      <c r="F56">
        <f t="shared" si="12"/>
        <v>63.25</v>
      </c>
    </row>
    <row r="57" spans="6:6">
      <c r="F57">
        <f t="shared" si="12"/>
        <v>4.5</v>
      </c>
    </row>
    <row r="58" spans="6:6">
      <c r="F58">
        <f t="shared" si="12"/>
        <v>50</v>
      </c>
    </row>
  </sheetData>
  <mergeCells count="25">
    <mergeCell ref="F1:F2"/>
    <mergeCell ref="A21:A23"/>
    <mergeCell ref="E21:E23"/>
    <mergeCell ref="A6:A8"/>
    <mergeCell ref="E6:E8"/>
    <mergeCell ref="A9:A11"/>
    <mergeCell ref="E9:E11"/>
    <mergeCell ref="A12:A14"/>
    <mergeCell ref="E12:E14"/>
    <mergeCell ref="N1:N2"/>
    <mergeCell ref="A15:A17"/>
    <mergeCell ref="E15:E17"/>
    <mergeCell ref="A18:A20"/>
    <mergeCell ref="E18:E20"/>
    <mergeCell ref="G1:G2"/>
    <mergeCell ref="H1:H2"/>
    <mergeCell ref="I1:I2"/>
    <mergeCell ref="J1:M1"/>
    <mergeCell ref="A3:A5"/>
    <mergeCell ref="E3:E5"/>
    <mergeCell ref="A1:A2"/>
    <mergeCell ref="B1:B2"/>
    <mergeCell ref="C1:C2"/>
    <mergeCell ref="D1:D2"/>
    <mergeCell ref="E1:E2"/>
  </mergeCells>
  <conditionalFormatting sqref="I3:I23">
    <cfRule type="expression" dxfId="5" priority="7">
      <formula>AND($I3&lt;&gt;"",$I3&gt;TODAY()+7)</formula>
    </cfRule>
    <cfRule type="expression" dxfId="4" priority="8">
      <formula>AND($I3&lt;&gt;"",$I3&gt;TODAY()+3,$I3&lt;=TODAY()+7)</formula>
    </cfRule>
    <cfRule type="expression" dxfId="3" priority="9">
      <formula>AND($I3&lt;&gt;"",$I3&lt;=TODAY()+3)</formula>
    </cfRule>
  </conditionalFormatting>
  <conditionalFormatting sqref="N3:N24">
    <cfRule type="expression" dxfId="2" priority="1">
      <formula>N3="CRITICAL"</formula>
    </cfRule>
    <cfRule type="expression" dxfId="1" priority="2">
      <formula>N3="WARNING"</formula>
    </cfRule>
    <cfRule type="expression" dxfId="0" priority="3">
      <formula>N3="AMAN"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 Tabung</vt:lpstr>
      <vt:lpstr>Agen 16.06.26</vt:lpstr>
      <vt:lpstr>Outlet 16.06.2026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Reslyana Wulandari</dc:creator>
  <cp:lastModifiedBy>Reslyana Wulandari</cp:lastModifiedBy>
  <dcterms:created xsi:type="dcterms:W3CDTF">2026-03-30T19:08:19Z</dcterms:created>
  <dcterms:modified xsi:type="dcterms:W3CDTF">2026-08-06T00:54:20Z</dcterms:modified>
</cp:coreProperties>
</file>